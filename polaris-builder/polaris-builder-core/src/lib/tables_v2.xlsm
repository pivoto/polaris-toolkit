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Workspaces\__CooData__\antengine\antengine-util\src\main\java\com\antengine\dbv\"/>
    </mc:Choice>
  </mc:AlternateContent>
  <bookViews>
    <workbookView xWindow="240" yWindow="105" windowWidth="14805" windowHeight="8010" tabRatio="692" activeTab="3"/>
  </bookViews>
  <sheets>
    <sheet name="控制台" sheetId="41" r:id="rId1"/>
    <sheet name="变更记录" sheetId="2" r:id="rId2"/>
    <sheet name="目录" sheetId="1" r:id="rId3"/>
    <sheet name="模板" sheetId="32" r:id="rId4"/>
    <sheet name="基准收益率表" sheetId="38" state="hidden" r:id="rId5"/>
    <sheet name="关注组合收益率表" sheetId="39" state="hidden" r:id="rId6"/>
  </sheets>
  <functionGroups builtInGroupCount="18"/>
  <calcPr calcId="162913"/>
</workbook>
</file>

<file path=xl/calcChain.xml><?xml version="1.0" encoding="utf-8"?>
<calcChain xmlns="http://schemas.openxmlformats.org/spreadsheetml/2006/main">
  <c r="F15" i="1" l="1"/>
  <c r="F16" i="1"/>
  <c r="A36" i="1" l="1"/>
  <c r="A37" i="1"/>
  <c r="A38" i="1"/>
  <c r="A39" i="1"/>
  <c r="A40" i="1"/>
  <c r="A41" i="1"/>
  <c r="A42" i="1"/>
  <c r="F37" i="1"/>
  <c r="F30" i="1" l="1"/>
  <c r="A30" i="1"/>
  <c r="F38" i="1"/>
  <c r="F41" i="1"/>
  <c r="F40" i="1"/>
  <c r="F35" i="1" l="1"/>
  <c r="A35" i="1"/>
  <c r="A10" i="1" l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F23" i="1" l="1"/>
  <c r="F34" i="1"/>
  <c r="A34" i="1"/>
  <c r="F33" i="1" l="1"/>
  <c r="A33" i="1"/>
  <c r="F32" i="1"/>
  <c r="A32" i="1"/>
  <c r="A11" i="32" l="1"/>
  <c r="C1" i="39"/>
  <c r="C1" i="38"/>
  <c r="C1" i="32"/>
  <c r="A12" i="38" l="1"/>
  <c r="F27" i="1" l="1"/>
  <c r="A27" i="1"/>
  <c r="F26" i="1"/>
  <c r="A26" i="1"/>
  <c r="F25" i="1"/>
  <c r="A25" i="1"/>
  <c r="F24" i="1"/>
  <c r="A24" i="1"/>
  <c r="A28" i="1"/>
  <c r="F28" i="1"/>
  <c r="A29" i="1"/>
  <c r="F29" i="1"/>
  <c r="F36" i="1"/>
  <c r="A31" i="1"/>
  <c r="F31" i="1"/>
  <c r="A1" i="2"/>
  <c r="E1" i="41" l="1"/>
  <c r="F9" i="1" l="1"/>
  <c r="A9" i="1"/>
  <c r="A1" i="39" l="1"/>
  <c r="A8" i="39"/>
  <c r="A10" i="39"/>
  <c r="A11" i="39"/>
  <c r="A12" i="39"/>
  <c r="A13" i="39"/>
  <c r="A14" i="39"/>
  <c r="A15" i="39"/>
  <c r="A16" i="39"/>
  <c r="A17" i="39"/>
  <c r="A18" i="39"/>
  <c r="A19" i="39"/>
  <c r="A20" i="39"/>
  <c r="A21" i="39"/>
  <c r="A22" i="39"/>
  <c r="A23" i="39"/>
  <c r="A24" i="39"/>
  <c r="A25" i="39"/>
  <c r="A30" i="39"/>
  <c r="A31" i="39"/>
  <c r="A32" i="39"/>
  <c r="A33" i="39"/>
  <c r="A34" i="39"/>
  <c r="A35" i="39"/>
  <c r="A36" i="39"/>
  <c r="F7" i="1" l="1"/>
  <c r="A7" i="1"/>
  <c r="F12" i="1" l="1"/>
  <c r="A10" i="32" l="1"/>
  <c r="A12" i="32"/>
  <c r="A36" i="38" l="1"/>
  <c r="A35" i="38"/>
  <c r="A34" i="38"/>
  <c r="A33" i="38"/>
  <c r="A32" i="38"/>
  <c r="A31" i="38"/>
  <c r="A30" i="38"/>
  <c r="A25" i="38"/>
  <c r="A24" i="38"/>
  <c r="A23" i="38"/>
  <c r="A22" i="38"/>
  <c r="A21" i="38"/>
  <c r="A20" i="38"/>
  <c r="A19" i="38"/>
  <c r="A18" i="38"/>
  <c r="A17" i="38"/>
  <c r="A16" i="38"/>
  <c r="A15" i="38"/>
  <c r="A14" i="38"/>
  <c r="A13" i="38"/>
  <c r="A11" i="38"/>
  <c r="A10" i="38"/>
  <c r="A8" i="38"/>
  <c r="A1" i="38"/>
  <c r="A21" i="32" l="1"/>
  <c r="A20" i="32"/>
  <c r="A19" i="32"/>
  <c r="A18" i="32"/>
  <c r="A17" i="32"/>
  <c r="A9" i="32"/>
  <c r="A8" i="32"/>
  <c r="A1" i="32"/>
  <c r="F2" i="1" l="1"/>
  <c r="F42" i="1" l="1"/>
  <c r="A43" i="1"/>
  <c r="F43" i="1"/>
  <c r="A44" i="1"/>
  <c r="F44" i="1"/>
  <c r="A45" i="1"/>
  <c r="F45" i="1"/>
  <c r="A46" i="1"/>
  <c r="F46" i="1"/>
  <c r="A47" i="1"/>
  <c r="F47" i="1"/>
  <c r="F39" i="1"/>
  <c r="A48" i="1"/>
  <c r="F48" i="1"/>
  <c r="A49" i="1"/>
  <c r="F49" i="1"/>
  <c r="A50" i="1"/>
  <c r="F50" i="1"/>
  <c r="A51" i="1"/>
  <c r="F51" i="1"/>
  <c r="A52" i="1"/>
  <c r="F52" i="1"/>
  <c r="A53" i="1"/>
  <c r="F53" i="1"/>
  <c r="A54" i="1"/>
  <c r="F54" i="1"/>
  <c r="A55" i="1"/>
  <c r="F55" i="1"/>
  <c r="A56" i="1"/>
  <c r="F56" i="1"/>
  <c r="A57" i="1"/>
  <c r="F57" i="1"/>
  <c r="A58" i="1"/>
  <c r="F58" i="1"/>
  <c r="A59" i="1"/>
  <c r="F59" i="1"/>
  <c r="A60" i="1"/>
  <c r="F60" i="1"/>
  <c r="A61" i="1"/>
  <c r="F61" i="1"/>
  <c r="A62" i="1"/>
  <c r="F62" i="1"/>
  <c r="A63" i="1"/>
  <c r="F63" i="1"/>
  <c r="A64" i="1"/>
  <c r="F64" i="1"/>
  <c r="A65" i="1"/>
  <c r="F65" i="1"/>
  <c r="A66" i="1"/>
  <c r="F66" i="1"/>
  <c r="A67" i="1"/>
  <c r="F67" i="1"/>
  <c r="A68" i="1"/>
  <c r="F68" i="1"/>
  <c r="A69" i="1"/>
  <c r="F69" i="1"/>
  <c r="A70" i="1"/>
  <c r="F70" i="1"/>
  <c r="A71" i="1"/>
  <c r="F71" i="1"/>
  <c r="A72" i="1"/>
  <c r="F72" i="1"/>
  <c r="A73" i="1"/>
  <c r="F73" i="1"/>
  <c r="A74" i="1"/>
  <c r="F74" i="1"/>
  <c r="A75" i="1"/>
  <c r="F75" i="1"/>
  <c r="A76" i="1"/>
  <c r="F76" i="1"/>
  <c r="A77" i="1"/>
  <c r="F77" i="1"/>
  <c r="A78" i="1"/>
  <c r="F78" i="1"/>
  <c r="A79" i="1"/>
  <c r="F79" i="1"/>
  <c r="A80" i="1"/>
  <c r="F80" i="1"/>
  <c r="A81" i="1"/>
  <c r="F81" i="1"/>
  <c r="A82" i="1"/>
  <c r="F82" i="1"/>
  <c r="A83" i="1"/>
  <c r="F83" i="1"/>
  <c r="A84" i="1"/>
  <c r="F84" i="1"/>
  <c r="A85" i="1"/>
  <c r="F85" i="1"/>
  <c r="A86" i="1"/>
  <c r="F86" i="1"/>
  <c r="A87" i="1"/>
  <c r="F87" i="1"/>
  <c r="A88" i="1"/>
  <c r="F88" i="1"/>
  <c r="A89" i="1"/>
  <c r="F89" i="1"/>
  <c r="A90" i="1"/>
  <c r="F90" i="1"/>
  <c r="A91" i="1"/>
  <c r="F91" i="1"/>
  <c r="A92" i="1"/>
  <c r="F92" i="1"/>
  <c r="A93" i="1"/>
  <c r="F93" i="1"/>
  <c r="A94" i="1"/>
  <c r="F94" i="1"/>
  <c r="A95" i="1"/>
  <c r="F95" i="1"/>
  <c r="A96" i="1"/>
  <c r="F96" i="1"/>
  <c r="A97" i="1"/>
  <c r="F97" i="1"/>
  <c r="A98" i="1"/>
  <c r="F98" i="1"/>
  <c r="A99" i="1"/>
  <c r="F99" i="1"/>
  <c r="A100" i="1"/>
  <c r="F100" i="1"/>
  <c r="A101" i="1"/>
  <c r="F101" i="1"/>
  <c r="A102" i="1"/>
  <c r="F102" i="1"/>
  <c r="A103" i="1"/>
  <c r="F103" i="1"/>
  <c r="A104" i="1"/>
  <c r="F104" i="1"/>
  <c r="A105" i="1"/>
  <c r="F105" i="1"/>
  <c r="A106" i="1"/>
  <c r="F106" i="1"/>
  <c r="A107" i="1"/>
  <c r="F107" i="1"/>
  <c r="A108" i="1"/>
  <c r="F108" i="1"/>
  <c r="A109" i="1"/>
  <c r="F109" i="1"/>
  <c r="A110" i="1"/>
  <c r="F110" i="1"/>
  <c r="A111" i="1"/>
  <c r="F111" i="1"/>
  <c r="A112" i="1"/>
  <c r="F112" i="1"/>
  <c r="A113" i="1"/>
  <c r="F113" i="1"/>
  <c r="A114" i="1"/>
  <c r="F114" i="1"/>
  <c r="A115" i="1"/>
  <c r="F115" i="1"/>
  <c r="A116" i="1"/>
  <c r="F116" i="1"/>
  <c r="A117" i="1"/>
  <c r="F117" i="1"/>
  <c r="A118" i="1"/>
  <c r="F118" i="1"/>
  <c r="A119" i="1"/>
  <c r="F119" i="1"/>
  <c r="A120" i="1"/>
  <c r="F120" i="1"/>
  <c r="A121" i="1"/>
  <c r="F121" i="1"/>
  <c r="A122" i="1"/>
  <c r="F122" i="1"/>
  <c r="A123" i="1"/>
  <c r="F123" i="1"/>
  <c r="A124" i="1"/>
  <c r="F124" i="1"/>
  <c r="A125" i="1"/>
  <c r="F125" i="1"/>
  <c r="A126" i="1"/>
  <c r="F126" i="1"/>
  <c r="A127" i="1"/>
  <c r="F127" i="1"/>
  <c r="A128" i="1"/>
  <c r="F128" i="1"/>
  <c r="A129" i="1"/>
  <c r="F129" i="1"/>
  <c r="A130" i="1"/>
  <c r="F130" i="1"/>
  <c r="A131" i="1"/>
  <c r="F131" i="1"/>
  <c r="A132" i="1"/>
  <c r="F132" i="1"/>
  <c r="A133" i="1"/>
  <c r="F133" i="1"/>
  <c r="A134" i="1"/>
  <c r="F134" i="1"/>
  <c r="A135" i="1"/>
  <c r="F135" i="1"/>
  <c r="A136" i="1"/>
  <c r="F136" i="1"/>
  <c r="A137" i="1"/>
  <c r="F137" i="1"/>
  <c r="A138" i="1"/>
  <c r="F138" i="1"/>
  <c r="A139" i="1"/>
  <c r="F139" i="1"/>
  <c r="A140" i="1"/>
  <c r="F140" i="1"/>
  <c r="A141" i="1"/>
  <c r="F141" i="1"/>
  <c r="A142" i="1"/>
  <c r="F142" i="1"/>
  <c r="A143" i="1"/>
  <c r="F143" i="1"/>
  <c r="A144" i="1"/>
  <c r="F144" i="1"/>
  <c r="A145" i="1"/>
  <c r="F145" i="1"/>
  <c r="A146" i="1"/>
  <c r="F146" i="1"/>
  <c r="A147" i="1"/>
  <c r="F147" i="1"/>
  <c r="A148" i="1"/>
  <c r="F148" i="1"/>
  <c r="A149" i="1"/>
  <c r="F149" i="1"/>
  <c r="A150" i="1"/>
  <c r="F150" i="1"/>
  <c r="A151" i="1"/>
  <c r="F151" i="1"/>
  <c r="F3" i="1" l="1"/>
  <c r="F4" i="1"/>
  <c r="F5" i="1"/>
  <c r="F6" i="1"/>
  <c r="F8" i="1"/>
  <c r="F10" i="1"/>
  <c r="F11" i="1"/>
  <c r="F13" i="1"/>
  <c r="F14" i="1"/>
  <c r="F17" i="1"/>
  <c r="F18" i="1"/>
  <c r="F19" i="1"/>
  <c r="F20" i="1"/>
  <c r="F21" i="1"/>
  <c r="F22" i="1"/>
  <c r="A2" i="1" l="1"/>
  <c r="A3" i="1"/>
  <c r="A4" i="1"/>
  <c r="A5" i="1"/>
  <c r="A6" i="1"/>
  <c r="A8" i="1"/>
</calcChain>
</file>

<file path=xl/sharedStrings.xml><?xml version="1.0" encoding="utf-8"?>
<sst xmlns="http://schemas.openxmlformats.org/spreadsheetml/2006/main" count="500" uniqueCount="107">
  <si>
    <t>序号</t>
  </si>
  <si>
    <t>表名(英文)</t>
  </si>
  <si>
    <t>备注</t>
  </si>
  <si>
    <t/>
  </si>
  <si>
    <t>系统</t>
    <phoneticPr fontId="2" type="noConversion"/>
  </si>
  <si>
    <t>类型</t>
    <phoneticPr fontId="2" type="noConversion"/>
  </si>
  <si>
    <t>链接</t>
    <phoneticPr fontId="2" type="noConversion"/>
  </si>
  <si>
    <t>EOF</t>
  </si>
  <si>
    <t>字段长度</t>
  </si>
  <si>
    <t>表名(中文)</t>
    <phoneticPr fontId="2" type="noConversion"/>
  </si>
  <si>
    <t>序号</t>
    <phoneticPr fontId="3" type="noConversion"/>
  </si>
  <si>
    <t>字段属性</t>
    <phoneticPr fontId="3" type="noConversion"/>
  </si>
  <si>
    <t>字段中文名</t>
    <phoneticPr fontId="3" type="noConversion"/>
  </si>
  <si>
    <t>字段精度</t>
    <phoneticPr fontId="2" type="noConversion"/>
  </si>
  <si>
    <t>非空约束</t>
    <phoneticPr fontId="2" type="noConversion"/>
  </si>
  <si>
    <t>主键约束</t>
    <phoneticPr fontId="2" type="noConversion"/>
  </si>
  <si>
    <t>Y</t>
  </si>
  <si>
    <t>Y</t>
    <phoneticPr fontId="2" type="noConversion"/>
  </si>
  <si>
    <t>字段英文名　</t>
    <phoneticPr fontId="3" type="noConversion"/>
  </si>
  <si>
    <t>索引名　</t>
    <phoneticPr fontId="3" type="noConversion"/>
  </si>
  <si>
    <t>字段1</t>
    <phoneticPr fontId="3" type="noConversion"/>
  </si>
  <si>
    <t>字段2</t>
    <phoneticPr fontId="3" type="noConversion"/>
  </si>
  <si>
    <t>字段3</t>
    <phoneticPr fontId="2" type="noConversion"/>
  </si>
  <si>
    <t>字段4</t>
    <phoneticPr fontId="2" type="noConversion"/>
  </si>
  <si>
    <t>字段5</t>
    <phoneticPr fontId="2" type="noConversion"/>
  </si>
  <si>
    <t>字段6</t>
    <phoneticPr fontId="2" type="noConversion"/>
  </si>
  <si>
    <t>备注说明</t>
    <phoneticPr fontId="2" type="noConversion"/>
  </si>
  <si>
    <t>备注说明</t>
    <phoneticPr fontId="2" type="noConversion"/>
  </si>
  <si>
    <t>本系统</t>
    <phoneticPr fontId="2" type="noConversion"/>
  </si>
  <si>
    <t>varchar2</t>
  </si>
  <si>
    <t>资产编号</t>
    <phoneticPr fontId="2" type="noConversion"/>
  </si>
  <si>
    <t>date</t>
    <phoneticPr fontId="2" type="noConversion"/>
  </si>
  <si>
    <t>number</t>
    <phoneticPr fontId="2" type="noConversion"/>
  </si>
  <si>
    <t>收益率</t>
    <phoneticPr fontId="2" type="noConversion"/>
  </si>
  <si>
    <t>txn_date</t>
    <phoneticPr fontId="2" type="noConversion"/>
  </si>
  <si>
    <t>asset_id</t>
    <phoneticPr fontId="2" type="noConversion"/>
  </si>
  <si>
    <t>portfolio_id</t>
    <phoneticPr fontId="2" type="noConversion"/>
  </si>
  <si>
    <t>交易日期</t>
    <phoneticPr fontId="2" type="noConversion"/>
  </si>
  <si>
    <t>yyyymmdd</t>
    <phoneticPr fontId="2" type="noConversion"/>
  </si>
  <si>
    <t>波动率</t>
    <phoneticPr fontId="2" type="noConversion"/>
  </si>
  <si>
    <t xml:space="preserve">volatility </t>
    <phoneticPr fontId="2" type="noConversion"/>
  </si>
  <si>
    <t>基准收益率表</t>
    <phoneticPr fontId="2" type="noConversion"/>
  </si>
  <si>
    <t>关注组合收益率表</t>
    <phoneticPr fontId="2" type="noConversion"/>
  </si>
  <si>
    <t>组合编号</t>
    <phoneticPr fontId="2" type="noConversion"/>
  </si>
  <si>
    <t>控制台配置信息</t>
    <phoneticPr fontId="2" type="noConversion"/>
  </si>
  <si>
    <t>属性名称</t>
    <phoneticPr fontId="2" type="noConversion"/>
  </si>
  <si>
    <t>属性标识</t>
    <phoneticPr fontId="2" type="noConversion"/>
  </si>
  <si>
    <t>属性值</t>
    <phoneticPr fontId="2" type="noConversion"/>
  </si>
  <si>
    <t>SQL文件路径</t>
    <phoneticPr fontId="2" type="noConversion"/>
  </si>
  <si>
    <t>目录表SHEET名称</t>
    <phoneticPr fontId="2" type="noConversion"/>
  </si>
  <si>
    <t>TOC_SHEET_NAME</t>
    <phoneticPr fontId="2" type="noConversion"/>
  </si>
  <si>
    <t>目录</t>
    <phoneticPr fontId="2" type="noConversion"/>
  </si>
  <si>
    <t>单独生成的表名</t>
    <phoneticPr fontId="2" type="noConversion"/>
  </si>
  <si>
    <t>SQL_TABLE_NAME</t>
    <phoneticPr fontId="2" type="noConversion"/>
  </si>
  <si>
    <t>建表语句</t>
    <phoneticPr fontId="2" type="noConversion"/>
  </si>
  <si>
    <t>SQL_CREATE_TABLE</t>
    <phoneticPr fontId="2" type="noConversion"/>
  </si>
  <si>
    <t>建主键语句</t>
    <phoneticPr fontId="2" type="noConversion"/>
  </si>
  <si>
    <t>SQL_CREATE_PK</t>
    <phoneticPr fontId="2" type="noConversion"/>
  </si>
  <si>
    <t>EOF</t>
    <phoneticPr fontId="2" type="noConversion"/>
  </si>
  <si>
    <t>benchmark_id</t>
    <phoneticPr fontId="2" type="noConversion"/>
  </si>
  <si>
    <t>默认值</t>
    <phoneticPr fontId="2" type="noConversion"/>
  </si>
  <si>
    <t>是否唯一</t>
    <phoneticPr fontId="2" type="noConversion"/>
  </si>
  <si>
    <t>变更日期</t>
    <phoneticPr fontId="2" type="noConversion"/>
  </si>
  <si>
    <t>变更内容</t>
    <phoneticPr fontId="2" type="noConversion"/>
  </si>
  <si>
    <t>alter table {tableName} add constraints pk_{tableName} primary key ( {pkColumns} ) using index tablespace iisidx;</t>
  </si>
  <si>
    <t>是否生成SQL</t>
    <phoneticPr fontId="2" type="noConversion"/>
  </si>
  <si>
    <t>N</t>
    <phoneticPr fontId="2" type="noConversion"/>
  </si>
  <si>
    <t>N</t>
    <phoneticPr fontId="2" type="noConversion"/>
  </si>
  <si>
    <t>控制台</t>
    <phoneticPr fontId="2" type="noConversion"/>
  </si>
  <si>
    <t>控制台</t>
    <phoneticPr fontId="2" type="noConversion"/>
  </si>
  <si>
    <t>变更记录</t>
    <phoneticPr fontId="2" type="noConversion"/>
  </si>
  <si>
    <t>变更记录</t>
    <phoneticPr fontId="2" type="noConversion"/>
  </si>
  <si>
    <t>yield</t>
    <phoneticPr fontId="2" type="noConversion"/>
  </si>
  <si>
    <t>yield</t>
    <phoneticPr fontId="2" type="noConversion"/>
  </si>
  <si>
    <t>accum_yield</t>
    <phoneticPr fontId="2" type="noConversion"/>
  </si>
  <si>
    <t>以3年前为起始开始计算</t>
    <phoneticPr fontId="2" type="noConversion"/>
  </si>
  <si>
    <t>绝对累计收益率</t>
    <phoneticPr fontId="2" type="noConversion"/>
  </si>
  <si>
    <t>是否有效</t>
    <phoneticPr fontId="2" type="noConversion"/>
  </si>
  <si>
    <t>Y</t>
    <phoneticPr fontId="2" type="noConversion"/>
  </si>
  <si>
    <t>SQL_FILE_PATH</t>
    <phoneticPr fontId="2" type="noConversion"/>
  </si>
  <si>
    <t>最优组合大类权重表</t>
    <phoneticPr fontId="2" type="noConversion"/>
  </si>
  <si>
    <t>模板</t>
    <phoneticPr fontId="2" type="noConversion"/>
  </si>
  <si>
    <t>模板</t>
    <phoneticPr fontId="2" type="noConversion"/>
  </si>
  <si>
    <t>D:\Workspaces\create_tables.sql</t>
    <phoneticPr fontId="2" type="noConversion"/>
  </si>
  <si>
    <t>drop table {tableName} cascade constraint;
create table {tableName}
({tableColumns}) tablespace userdat;
comment on table {tableName} is '{tableComment}';</t>
    <phoneticPr fontId="2" type="noConversion"/>
  </si>
  <si>
    <t>建列语句</t>
    <phoneticPr fontId="2" type="noConversion"/>
  </si>
  <si>
    <t>SQL_CREATE_COLUMN</t>
    <phoneticPr fontId="2" type="noConversion"/>
  </si>
  <si>
    <t>{columnName} {columnDesc} comment '{columnComment}'</t>
    <phoneticPr fontId="2" type="noConversion"/>
  </si>
  <si>
    <t>N</t>
    <phoneticPr fontId="2" type="noConversion"/>
  </si>
  <si>
    <t>SQL_CREATE_PK</t>
    <phoneticPr fontId="2" type="noConversion"/>
  </si>
  <si>
    <t>建索引语句</t>
    <phoneticPr fontId="2" type="noConversion"/>
  </si>
  <si>
    <t>SQL_CREATE_INDEX</t>
    <phoneticPr fontId="2" type="noConversion"/>
  </si>
  <si>
    <t>create {indexType} {indexName} on {tableName} ( {indexColumns} ) tablespace useridx;</t>
    <phoneticPr fontId="2" type="noConversion"/>
  </si>
  <si>
    <t>建列标题语句</t>
    <phoneticPr fontId="2" type="noConversion"/>
  </si>
  <si>
    <t>SQL_CREATE_COMMENT</t>
    <phoneticPr fontId="2" type="noConversion"/>
  </si>
  <si>
    <t>comment on column {tableName}.{columnName} is '{columnComment}';</t>
    <phoneticPr fontId="2" type="noConversion"/>
  </si>
  <si>
    <t>SQL_CREATE_TABLE</t>
    <phoneticPr fontId="2" type="noConversion"/>
  </si>
  <si>
    <t>Y</t>
    <phoneticPr fontId="2" type="noConversion"/>
  </si>
  <si>
    <t>Y</t>
    <phoneticPr fontId="2" type="noConversion"/>
  </si>
  <si>
    <t>建列语句</t>
    <phoneticPr fontId="2" type="noConversion"/>
  </si>
  <si>
    <t>SQL_CREATE_COLUMN</t>
    <phoneticPr fontId="2" type="noConversion"/>
  </si>
  <si>
    <t>{columnName} {columnDesc} comment '{columnComment}'</t>
    <phoneticPr fontId="2" type="noConversion"/>
  </si>
  <si>
    <t>alter table {tableName} add primary key ( {pkColumns} );</t>
    <phoneticPr fontId="2" type="noConversion"/>
  </si>
  <si>
    <t>建索引语句</t>
    <phoneticPr fontId="2" type="noConversion"/>
  </si>
  <si>
    <t>SQL_CREATE_INDEX</t>
    <phoneticPr fontId="2" type="noConversion"/>
  </si>
  <si>
    <t>create {indexType} {indexName} on {tableName} ( {indexColumns} );</t>
    <phoneticPr fontId="2" type="noConversion"/>
  </si>
  <si>
    <t>drop table if exists {tableName} cascade;
create table {tableName}
({tableColumns})
engine=Innodb auto_increment=10000 default charset=utf8mb4 comment '{tableComment}';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</si>
</sst>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76" formatCode="[$-F800]dddd\,\ mmmm\ dd\,\ yyyy"/>
  </numFmts>
  <fonts count="19" x14ac:knownFonts="1">
    <font>
      <sz val="11"/>
      <color theme="1"/>
      <name val="宋体"/>
      <family val="2"/>
      <scheme val="minor"/>
    </font>
    <font>
      <sz val="11"/>
      <color theme="1"/>
      <name val="宋体"/>
      <family val="2"/>
      <charset val="134"/>
      <scheme val="minor"/>
    </font>
    <font>
      <sz val="9"/>
      <name val="宋体"/>
      <family val="3"/>
      <charset val="134"/>
      <scheme val="minor"/>
    </font>
    <font>
      <sz val="9"/>
      <name val="宋体"/>
      <family val="3"/>
      <charset val="134"/>
    </font>
    <font>
      <sz val="9"/>
      <color indexed="8"/>
      <name val="宋体"/>
      <family val="3"/>
      <charset val="134"/>
    </font>
    <font>
      <b/>
      <sz val="9"/>
      <color indexed="8"/>
      <name val="宋体"/>
      <family val="3"/>
      <charset val="134"/>
    </font>
    <font>
      <u/>
      <sz val="11"/>
      <color indexed="12"/>
      <name val="宋体"/>
      <family val="3"/>
      <charset val="134"/>
    </font>
    <font>
      <b/>
      <sz val="10"/>
      <color indexed="8"/>
      <name val="宋体"/>
      <family val="3"/>
      <charset val="134"/>
    </font>
    <font>
      <u/>
      <sz val="10"/>
      <color indexed="12"/>
      <name val="宋体"/>
      <family val="3"/>
      <charset val="134"/>
    </font>
    <font>
      <b/>
      <sz val="9"/>
      <color rgb="FF00B0F0"/>
      <name val="宋体"/>
      <family val="3"/>
      <charset val="134"/>
      <scheme val="minor"/>
    </font>
    <font>
      <sz val="10"/>
      <name val="宋体"/>
      <family val="3"/>
      <charset val="134"/>
    </font>
    <font>
      <sz val="9"/>
      <color theme="1"/>
      <name val="宋体"/>
      <family val="2"/>
      <charset val="134"/>
      <scheme val="minor"/>
    </font>
    <font>
      <sz val="10"/>
      <color theme="1"/>
      <name val="宋体"/>
      <family val="3"/>
      <charset val="134"/>
      <scheme val="minor"/>
    </font>
    <font>
      <sz val="10"/>
      <color theme="1"/>
      <name val="宋体"/>
      <family val="2"/>
      <scheme val="minor"/>
    </font>
    <font>
      <u/>
      <sz val="9"/>
      <color indexed="12"/>
      <name val="宋体"/>
      <family val="3"/>
      <charset val="134"/>
    </font>
    <font>
      <strike/>
      <sz val="10"/>
      <color theme="1"/>
      <name val="宋体"/>
      <family val="3"/>
      <charset val="134"/>
      <scheme val="minor"/>
    </font>
    <font>
      <sz val="12"/>
      <name val="宋体"/>
      <family val="3"/>
      <charset val="134"/>
    </font>
    <font>
      <sz val="9"/>
      <color rgb="FFFF0000"/>
      <name val="宋体"/>
      <family val="3"/>
      <charset val="134"/>
    </font>
    <font>
      <sz val="10"/>
      <color rgb="FFFF0000"/>
      <name val="宋体"/>
      <family val="3"/>
      <charset val="134"/>
      <scheme val="minor"/>
    </font>
  </fonts>
  <fills count="8">
    <fill>
      <patternFill patternType="none"/>
    </fill>
    <fill>
      <patternFill patternType="gray125"/>
    </fill>
    <fill>
      <patternFill patternType="solid">
        <fgColor indexed="5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0" fontId="1" fillId="0" borderId="0">
      <alignment vertical="center"/>
    </xf>
    <xf numFmtId="0" fontId="6" fillId="0" borderId="0" applyNumberFormat="0" applyFill="0" applyBorder="0" applyAlignment="0" applyProtection="0">
      <alignment vertical="center"/>
    </xf>
    <xf numFmtId="0" fontId="16" fillId="0" borderId="0"/>
  </cellStyleXfs>
  <cellXfs count="66">
    <xf numFmtId="0" fontId="0" fillId="0" borderId="0" xfId="0"/>
    <xf numFmtId="49" fontId="1" fillId="0" borderId="0" xfId="1" applyNumberFormat="1" applyAlignment="1">
      <alignment horizontal="left" vertical="center"/>
    </xf>
    <xf numFmtId="49" fontId="4" fillId="0" borderId="1" xfId="1" applyNumberFormat="1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/>
    </xf>
    <xf numFmtId="49" fontId="4" fillId="0" borderId="2" xfId="1" quotePrefix="1" applyNumberFormat="1" applyFont="1" applyFill="1" applyBorder="1" applyAlignment="1">
      <alignment horizontal="left" vertical="center"/>
    </xf>
    <xf numFmtId="0" fontId="0" fillId="0" borderId="0" xfId="0" applyAlignment="1"/>
    <xf numFmtId="0" fontId="1" fillId="0" borderId="0" xfId="1">
      <alignment vertical="center"/>
    </xf>
    <xf numFmtId="49" fontId="4" fillId="0" borderId="1" xfId="1" quotePrefix="1" applyNumberFormat="1" applyFont="1" applyFill="1" applyBorder="1" applyAlignment="1">
      <alignment horizontal="left" vertical="center"/>
    </xf>
    <xf numFmtId="49" fontId="5" fillId="0" borderId="1" xfId="1" applyNumberFormat="1" applyFont="1" applyFill="1" applyBorder="1" applyAlignment="1">
      <alignment horizontal="center" vertical="center"/>
    </xf>
    <xf numFmtId="49" fontId="7" fillId="2" borderId="1" xfId="1" applyNumberFormat="1" applyFont="1" applyFill="1" applyBorder="1" applyAlignment="1">
      <alignment horizontal="center" vertical="center"/>
    </xf>
    <xf numFmtId="0" fontId="1" fillId="0" borderId="0" xfId="1" applyAlignment="1">
      <alignment horizontal="center" vertical="center"/>
    </xf>
    <xf numFmtId="0" fontId="10" fillId="4" borderId="1" xfId="0" applyFont="1" applyFill="1" applyBorder="1" applyAlignment="1">
      <alignment horizontal="center" vertical="center" wrapText="1"/>
    </xf>
    <xf numFmtId="0" fontId="10" fillId="0" borderId="1" xfId="0" applyFont="1" applyFill="1" applyBorder="1" applyAlignment="1">
      <alignment horizontal="center" vertical="center" wrapText="1"/>
    </xf>
    <xf numFmtId="0" fontId="10" fillId="5" borderId="1" xfId="0" applyFont="1" applyFill="1" applyBorder="1" applyAlignment="1">
      <alignment horizontal="center" vertical="center"/>
    </xf>
    <xf numFmtId="0" fontId="10" fillId="0" borderId="1" xfId="0" applyFont="1" applyFill="1" applyBorder="1" applyAlignment="1">
      <alignment horizontal="left" vertical="center" wrapText="1"/>
    </xf>
    <xf numFmtId="0" fontId="9" fillId="0" borderId="1" xfId="0" quotePrefix="1" applyFont="1" applyBorder="1" applyAlignment="1">
      <alignment horizontal="center" vertical="center"/>
    </xf>
    <xf numFmtId="0" fontId="11" fillId="0" borderId="0" xfId="1" applyFont="1">
      <alignment vertical="center"/>
    </xf>
    <xf numFmtId="0" fontId="10" fillId="0" borderId="0" xfId="0" applyFont="1" applyBorder="1" applyAlignment="1">
      <alignment horizontal="center" vertical="center"/>
    </xf>
    <xf numFmtId="0" fontId="10" fillId="0" borderId="1" xfId="0" applyFont="1" applyBorder="1" applyAlignment="1">
      <alignment vertical="center"/>
    </xf>
    <xf numFmtId="0" fontId="10" fillId="0" borderId="1" xfId="0" applyFont="1" applyBorder="1" applyAlignment="1">
      <alignment horizontal="left" vertical="center"/>
    </xf>
    <xf numFmtId="0" fontId="10" fillId="0" borderId="1" xfId="0" applyFont="1" applyBorder="1" applyAlignment="1">
      <alignment horizontal="center" vertical="center"/>
    </xf>
    <xf numFmtId="0" fontId="8" fillId="0" borderId="0" xfId="2" applyFont="1" applyAlignment="1">
      <alignment horizontal="center" vertical="center"/>
    </xf>
    <xf numFmtId="0" fontId="10" fillId="5" borderId="1" xfId="0" applyFont="1" applyFill="1" applyBorder="1" applyAlignment="1">
      <alignment horizontal="center" vertical="center" wrapText="1"/>
    </xf>
    <xf numFmtId="0" fontId="12" fillId="0" borderId="0" xfId="0" applyFont="1" applyAlignment="1">
      <alignment horizontal="left"/>
    </xf>
    <xf numFmtId="0" fontId="8" fillId="0" borderId="0" xfId="2" applyFont="1" applyAlignment="1">
      <alignment horizontal="left" vertical="center"/>
    </xf>
    <xf numFmtId="0" fontId="12" fillId="0" borderId="0" xfId="0" applyFont="1" applyBorder="1" applyAlignment="1">
      <alignment horizontal="center"/>
    </xf>
    <xf numFmtId="0" fontId="8" fillId="0" borderId="0" xfId="2" quotePrefix="1" applyFont="1" applyBorder="1" applyAlignment="1">
      <alignment horizontal="center" vertical="center"/>
    </xf>
    <xf numFmtId="0" fontId="12" fillId="0" borderId="0" xfId="0" applyFont="1" applyBorder="1" applyAlignment="1">
      <alignment horizontal="left"/>
    </xf>
    <xf numFmtId="0" fontId="12" fillId="0" borderId="0" xfId="0" applyFont="1" applyAlignment="1">
      <alignment horizontal="center"/>
    </xf>
    <xf numFmtId="0" fontId="12" fillId="0" borderId="1" xfId="0" applyFont="1" applyBorder="1" applyAlignment="1">
      <alignment horizontal="left"/>
    </xf>
    <xf numFmtId="0" fontId="4" fillId="3" borderId="3" xfId="0" applyFont="1" applyFill="1" applyBorder="1" applyAlignment="1">
      <alignment horizontal="left" vertical="center"/>
    </xf>
    <xf numFmtId="49" fontId="7" fillId="2" borderId="3" xfId="1" applyNumberFormat="1" applyFont="1" applyFill="1" applyBorder="1" applyAlignment="1">
      <alignment horizontal="center" vertical="center"/>
    </xf>
    <xf numFmtId="0" fontId="12" fillId="0" borderId="0" xfId="0" applyFont="1"/>
    <xf numFmtId="0" fontId="13" fillId="0" borderId="1" xfId="0" applyFont="1" applyBorder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13" fillId="0" borderId="1" xfId="0" applyFont="1" applyBorder="1" applyAlignment="1">
      <alignment horizontal="left" vertical="top"/>
    </xf>
    <xf numFmtId="0" fontId="12" fillId="0" borderId="0" xfId="0" applyFont="1" applyAlignment="1">
      <alignment horizontal="left" vertical="top"/>
    </xf>
    <xf numFmtId="0" fontId="13" fillId="6" borderId="1" xfId="0" applyFont="1" applyFill="1" applyBorder="1" applyAlignment="1">
      <alignment horizontal="center" vertical="top"/>
    </xf>
    <xf numFmtId="49" fontId="4" fillId="0" borderId="2" xfId="1" applyNumberFormat="1" applyFont="1" applyFill="1" applyBorder="1" applyAlignment="1">
      <alignment horizontal="left" vertical="center"/>
    </xf>
    <xf numFmtId="49" fontId="4" fillId="0" borderId="2" xfId="1" applyNumberFormat="1" applyFont="1" applyFill="1" applyBorder="1" applyAlignment="1">
      <alignment horizontal="left" vertical="center" wrapText="1"/>
    </xf>
    <xf numFmtId="49" fontId="4" fillId="0" borderId="1" xfId="1" applyNumberFormat="1" applyFont="1" applyFill="1" applyBorder="1" applyAlignment="1">
      <alignment horizontal="left" vertical="center" wrapText="1"/>
    </xf>
    <xf numFmtId="49" fontId="4" fillId="0" borderId="1" xfId="1" applyNumberFormat="1" applyFont="1" applyFill="1" applyBorder="1" applyAlignment="1">
      <alignment horizontal="left" vertical="center"/>
    </xf>
    <xf numFmtId="0" fontId="13" fillId="0" borderId="1" xfId="0" applyFont="1" applyBorder="1" applyAlignment="1">
      <alignment horizontal="left" vertical="top" wrapText="1"/>
    </xf>
    <xf numFmtId="0" fontId="12" fillId="0" borderId="1" xfId="0" applyFont="1" applyBorder="1" applyAlignment="1">
      <alignment horizontal="left" wrapText="1"/>
    </xf>
    <xf numFmtId="0" fontId="12" fillId="0" borderId="1" xfId="0" applyFont="1" applyBorder="1" applyAlignment="1">
      <alignment horizontal="left" vertical="top"/>
    </xf>
    <xf numFmtId="0" fontId="0" fillId="7" borderId="1" xfId="0" applyFill="1" applyBorder="1" applyAlignment="1">
      <alignment horizontal="center"/>
    </xf>
    <xf numFmtId="0" fontId="0" fillId="7" borderId="1" xfId="0" applyFill="1" applyBorder="1" applyAlignment="1">
      <alignment horizontal="center" vertical="center"/>
    </xf>
    <xf numFmtId="176" fontId="0" fillId="0" borderId="1" xfId="0" applyNumberFormat="1" applyBorder="1" applyAlignment="1">
      <alignment vertical="center"/>
    </xf>
    <xf numFmtId="0" fontId="0" fillId="0" borderId="0" xfId="0" applyAlignment="1">
      <alignment vertical="center"/>
    </xf>
    <xf numFmtId="0" fontId="0" fillId="0" borderId="1" xfId="0" applyBorder="1" applyAlignment="1">
      <alignment horizontal="left" vertical="top" wrapText="1"/>
    </xf>
    <xf numFmtId="0" fontId="0" fillId="0" borderId="1" xfId="0" applyBorder="1" applyAlignment="1">
      <alignment horizontal="left" vertical="top"/>
    </xf>
    <xf numFmtId="49" fontId="4" fillId="0" borderId="2" xfId="1" applyNumberFormat="1" applyFont="1" applyFill="1" applyBorder="1" applyAlignment="1">
      <alignment horizontal="center" vertical="center"/>
    </xf>
    <xf numFmtId="0" fontId="14" fillId="0" borderId="0" xfId="2" applyFont="1" applyAlignment="1">
      <alignment horizontal="center" vertical="center"/>
    </xf>
    <xf numFmtId="0" fontId="13" fillId="6" borderId="1" xfId="0" applyFont="1" applyFill="1" applyBorder="1" applyAlignment="1">
      <alignment horizontal="center" vertical="center"/>
    </xf>
    <xf numFmtId="0" fontId="12" fillId="0" borderId="1" xfId="0" applyFont="1" applyBorder="1"/>
    <xf numFmtId="0" fontId="12" fillId="0" borderId="1" xfId="0" applyFont="1" applyBorder="1" applyAlignment="1">
      <alignment horizontal="center" vertical="center"/>
    </xf>
    <xf numFmtId="49" fontId="17" fillId="0" borderId="2" xfId="1" applyNumberFormat="1" applyFont="1" applyFill="1" applyBorder="1" applyAlignment="1">
      <alignment horizontal="center" vertical="center"/>
    </xf>
    <xf numFmtId="0" fontId="15" fillId="6" borderId="0" xfId="0" applyFont="1" applyFill="1" applyAlignment="1">
      <alignment horizontal="left"/>
    </xf>
    <xf numFmtId="0" fontId="18" fillId="0" borderId="1" xfId="0" applyFont="1" applyFill="1" applyBorder="1" applyAlignment="1">
      <alignment horizontal="center" vertical="center"/>
    </xf>
    <xf numFmtId="0" fontId="18" fillId="0" borderId="1" xfId="0" applyFont="1" applyFill="1" applyBorder="1" applyAlignment="1">
      <alignment horizontal="center" vertical="center" wrapText="1"/>
    </xf>
    <xf numFmtId="0" fontId="12" fillId="0" borderId="1" xfId="0" applyFont="1" applyFill="1" applyBorder="1" applyAlignment="1">
      <alignment horizontal="center" vertical="center"/>
    </xf>
    <xf numFmtId="49" fontId="5" fillId="0" borderId="1" xfId="1" applyNumberFormat="1" applyFont="1" applyFill="1" applyBorder="1" applyAlignment="1">
      <alignment horizontal="left" vertical="center"/>
    </xf>
    <xf numFmtId="0" fontId="1" fillId="0" borderId="0" xfId="1" applyAlignment="1">
      <alignment horizontal="left" vertical="center"/>
    </xf>
    <xf numFmtId="0" fontId="13" fillId="6" borderId="1" xfId="0" applyFont="1" applyFill="1" applyBorder="1" applyAlignment="1">
      <alignment horizontal="center" vertical="center"/>
    </xf>
    <xf numFmtId="0" fontId="12" fillId="0" borderId="1" xfId="0" applyFont="1" applyBorder="1" applyAlignment="1">
      <alignment horizontal="center"/>
    </xf>
    <xf numFmtId="0" fontId="12" fillId="0" borderId="1" xfId="0" applyFont="1" applyBorder="1" applyAlignment="1">
      <alignment horizontal="left" vertical="top"/>
    </xf>
  </cellXfs>
  <cellStyles count="4">
    <cellStyle name="Normal 2" xfId="3"/>
    <cellStyle name="常规" xfId="0" builtinId="0"/>
    <cellStyle name="常规 3" xfId="1"/>
    <cellStyle name="超链接" xfId="2" builtinId="8"/>
  </cellStyles>
  <dxfs count="0"/>
  <tableStyles count="0" defaultTableStyle="TableStyleMedium2" defaultPivotStyle="PivotStyleMedium9"/>
  <colors>
    <mruColors>
      <color rgb="FF6AF070"/>
      <color rgb="FFF8C29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304800</xdr:colOff>
          <xdr:row>3</xdr:row>
          <xdr:rowOff>0</xdr:rowOff>
        </xdr:from>
        <xdr:to>
          <xdr:col>5</xdr:col>
          <xdr:colOff>685800</xdr:colOff>
          <xdr:row>5</xdr:row>
          <xdr:rowOff>9525</xdr:rowOff>
        </xdr:to>
        <xdr:sp macro="" textlink="">
          <xdr:nvSpPr>
            <xdr:cNvPr id="19457" name="生成所有表的SQL" hidden="1">
              <a:extLst>
                <a:ext uri="{63B3BB69-23CF-44E3-9099-C40C66FF867C}">
                  <a14:compatExt spid="_x0000_s194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304800</xdr:colOff>
          <xdr:row>5</xdr:row>
          <xdr:rowOff>247650</xdr:rowOff>
        </xdr:from>
        <xdr:to>
          <xdr:col>5</xdr:col>
          <xdr:colOff>685800</xdr:colOff>
          <xdr:row>5</xdr:row>
          <xdr:rowOff>561975</xdr:rowOff>
        </xdr:to>
        <xdr:sp macro="" textlink="">
          <xdr:nvSpPr>
            <xdr:cNvPr id="19458" name="生成指定表的SQL" hidden="1">
              <a:extLst>
                <a:ext uri="{63B3BB69-23CF-44E3-9099-C40C66FF867C}">
                  <a14:compatExt spid="_x0000_s194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F24"/>
  <sheetViews>
    <sheetView workbookViewId="0">
      <selection activeCell="G11" sqref="G11"/>
    </sheetView>
  </sheetViews>
  <sheetFormatPr defaultRowHeight="12" x14ac:dyDescent="0.15"/>
  <cols>
    <col min="1" max="1" width="19.875" style="32" customWidth="1"/>
    <col min="2" max="2" width="17.375" style="34" customWidth="1"/>
    <col min="3" max="3" width="49.25" style="36" customWidth="1"/>
    <col min="4" max="4" width="8" style="34" customWidth="1"/>
    <col min="5" max="5" width="11.625" style="32" customWidth="1"/>
    <col min="6" max="6" width="12.75" style="32" customWidth="1"/>
    <col min="7" max="7" width="44" style="32" customWidth="1"/>
    <col min="8" max="16384" width="9" style="32"/>
  </cols>
  <sheetData>
    <row r="1" spans="1:6" x14ac:dyDescent="0.15">
      <c r="A1" s="63" t="s">
        <v>44</v>
      </c>
      <c r="B1" s="63"/>
      <c r="C1" s="63"/>
      <c r="D1" s="63"/>
      <c r="E1" s="52" t="str">
        <f>HYPERLINK(CONCATENATE("#'目录'!D",MATCH(F1,目录!D:D,0)),"返回")</f>
        <v>返回</v>
      </c>
      <c r="F1" s="23" t="s">
        <v>68</v>
      </c>
    </row>
    <row r="2" spans="1:6" ht="13.5" customHeight="1" x14ac:dyDescent="0.15">
      <c r="A2" s="53" t="s">
        <v>45</v>
      </c>
      <c r="B2" s="53" t="s">
        <v>46</v>
      </c>
      <c r="C2" s="53" t="s">
        <v>47</v>
      </c>
      <c r="D2" s="53" t="s">
        <v>77</v>
      </c>
    </row>
    <row r="3" spans="1:6" x14ac:dyDescent="0.15">
      <c r="A3" s="33" t="s">
        <v>48</v>
      </c>
      <c r="B3" s="33" t="s">
        <v>79</v>
      </c>
      <c r="C3" s="42" t="s">
        <v>83</v>
      </c>
      <c r="D3" s="59" t="s">
        <v>17</v>
      </c>
    </row>
    <row r="4" spans="1:6" x14ac:dyDescent="0.15">
      <c r="A4" s="33" t="s">
        <v>49</v>
      </c>
      <c r="B4" s="33" t="s">
        <v>50</v>
      </c>
      <c r="C4" s="35" t="s">
        <v>51</v>
      </c>
      <c r="D4" s="58" t="s">
        <v>78</v>
      </c>
    </row>
    <row r="5" spans="1:6" x14ac:dyDescent="0.15">
      <c r="A5" s="33" t="s">
        <v>52</v>
      </c>
      <c r="B5" s="33" t="s">
        <v>53</v>
      </c>
      <c r="C5" s="35" t="s">
        <v>80</v>
      </c>
      <c r="D5" s="58" t="s">
        <v>78</v>
      </c>
    </row>
    <row r="6" spans="1:6" ht="60" x14ac:dyDescent="0.15">
      <c r="A6" s="33" t="s">
        <v>54</v>
      </c>
      <c r="B6" s="33" t="s">
        <v>55</v>
      </c>
      <c r="C6" s="42" t="s">
        <v>84</v>
      </c>
      <c r="D6" s="60" t="s">
        <v>66</v>
      </c>
    </row>
    <row r="7" spans="1:6" x14ac:dyDescent="0.15">
      <c r="A7" s="33" t="s">
        <v>85</v>
      </c>
      <c r="B7" s="33" t="s">
        <v>86</v>
      </c>
      <c r="C7" s="42" t="s">
        <v>87</v>
      </c>
      <c r="D7" s="60" t="s">
        <v>88</v>
      </c>
    </row>
    <row r="8" spans="1:6" ht="36" x14ac:dyDescent="0.15">
      <c r="A8" s="33" t="s">
        <v>56</v>
      </c>
      <c r="B8" s="33" t="s">
        <v>89</v>
      </c>
      <c r="C8" s="42" t="s">
        <v>64</v>
      </c>
      <c r="D8" s="60" t="s">
        <v>66</v>
      </c>
    </row>
    <row r="9" spans="1:6" ht="24" x14ac:dyDescent="0.15">
      <c r="A9" s="33" t="s">
        <v>90</v>
      </c>
      <c r="B9" s="33" t="s">
        <v>91</v>
      </c>
      <c r="C9" s="42" t="s">
        <v>92</v>
      </c>
      <c r="D9" s="60" t="s">
        <v>66</v>
      </c>
    </row>
    <row r="10" spans="1:6" ht="24" x14ac:dyDescent="0.15">
      <c r="A10" s="33" t="s">
        <v>93</v>
      </c>
      <c r="B10" s="33" t="s">
        <v>94</v>
      </c>
      <c r="C10" s="42" t="s">
        <v>95</v>
      </c>
      <c r="D10" s="60" t="s">
        <v>66</v>
      </c>
    </row>
    <row r="11" spans="1:6" ht="60" x14ac:dyDescent="0.15">
      <c r="A11" s="33" t="s">
        <v>54</v>
      </c>
      <c r="B11" s="33" t="s">
        <v>96</v>
      </c>
      <c r="C11" s="42" t="s">
        <v>106</v>
      </c>
      <c r="D11" s="58" t="s">
        <v>98</v>
      </c>
    </row>
    <row r="12" spans="1:6" x14ac:dyDescent="0.15">
      <c r="A12" s="33" t="s">
        <v>99</v>
      </c>
      <c r="B12" s="33" t="s">
        <v>100</v>
      </c>
      <c r="C12" s="42" t="s">
        <v>101</v>
      </c>
      <c r="D12" s="58" t="s">
        <v>98</v>
      </c>
    </row>
    <row r="13" spans="1:6" ht="24" x14ac:dyDescent="0.15">
      <c r="A13" s="33" t="s">
        <v>56</v>
      </c>
      <c r="B13" s="33" t="s">
        <v>57</v>
      </c>
      <c r="C13" s="42" t="s">
        <v>102</v>
      </c>
      <c r="D13" s="58" t="s">
        <v>98</v>
      </c>
    </row>
    <row r="14" spans="1:6" ht="24" x14ac:dyDescent="0.15">
      <c r="A14" s="33" t="s">
        <v>103</v>
      </c>
      <c r="B14" s="33" t="s">
        <v>104</v>
      </c>
      <c r="C14" s="42" t="s">
        <v>105</v>
      </c>
      <c r="D14" s="58" t="s">
        <v>97</v>
      </c>
    </row>
    <row r="15" spans="1:6" x14ac:dyDescent="0.15">
      <c r="A15" s="33"/>
      <c r="B15" s="33"/>
      <c r="C15" s="35"/>
      <c r="D15" s="33"/>
    </row>
    <row r="16" spans="1:6" x14ac:dyDescent="0.15">
      <c r="A16" s="33"/>
      <c r="B16" s="33"/>
      <c r="C16" s="35"/>
      <c r="D16" s="33"/>
    </row>
    <row r="17" spans="1:4" x14ac:dyDescent="0.15">
      <c r="A17" s="33"/>
      <c r="B17" s="33"/>
      <c r="C17" s="35"/>
      <c r="D17" s="33"/>
    </row>
    <row r="18" spans="1:4" x14ac:dyDescent="0.15">
      <c r="A18" s="33"/>
      <c r="B18" s="33"/>
      <c r="C18" s="35"/>
      <c r="D18" s="33"/>
    </row>
    <row r="19" spans="1:4" x14ac:dyDescent="0.15">
      <c r="A19" s="33"/>
      <c r="B19" s="33"/>
      <c r="C19" s="35"/>
      <c r="D19" s="33"/>
    </row>
    <row r="20" spans="1:4" x14ac:dyDescent="0.15">
      <c r="A20" s="33"/>
      <c r="B20" s="33"/>
      <c r="C20" s="35"/>
      <c r="D20" s="33"/>
    </row>
    <row r="21" spans="1:4" x14ac:dyDescent="0.15">
      <c r="A21" s="33"/>
      <c r="B21" s="33"/>
      <c r="C21" s="35"/>
      <c r="D21" s="33"/>
    </row>
    <row r="22" spans="1:4" x14ac:dyDescent="0.15">
      <c r="A22" s="33"/>
      <c r="B22" s="33"/>
      <c r="C22" s="35"/>
      <c r="D22" s="33"/>
    </row>
    <row r="23" spans="1:4" x14ac:dyDescent="0.15">
      <c r="A23" s="53" t="s">
        <v>58</v>
      </c>
      <c r="B23" s="53" t="s">
        <v>58</v>
      </c>
      <c r="C23" s="37" t="s">
        <v>58</v>
      </c>
      <c r="D23" s="53"/>
    </row>
    <row r="24" spans="1:4" x14ac:dyDescent="0.15">
      <c r="A24" s="54"/>
      <c r="B24" s="55"/>
      <c r="C24" s="44"/>
      <c r="D24" s="55"/>
    </row>
  </sheetData>
  <mergeCells count="1">
    <mergeCell ref="A1:D1"/>
  </mergeCells>
  <phoneticPr fontId="2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9457" r:id="rId4" name="生成所有表的SQL">
          <controlPr defaultSize="0" autoLine="0" r:id="rId5">
            <anchor>
              <from>
                <xdr:col>4</xdr:col>
                <xdr:colOff>304800</xdr:colOff>
                <xdr:row>3</xdr:row>
                <xdr:rowOff>0</xdr:rowOff>
              </from>
              <to>
                <xdr:col>5</xdr:col>
                <xdr:colOff>685800</xdr:colOff>
                <xdr:row>5</xdr:row>
                <xdr:rowOff>9525</xdr:rowOff>
              </to>
            </anchor>
          </controlPr>
        </control>
      </mc:Choice>
      <mc:Fallback>
        <control shapeId="19457" r:id="rId4" name="生成所有表的SQL"/>
      </mc:Fallback>
    </mc:AlternateContent>
    <mc:AlternateContent xmlns:mc="http://schemas.openxmlformats.org/markup-compatibility/2006">
      <mc:Choice Requires="x14">
        <control shapeId="19458" r:id="rId6" name="生成指定表的SQL">
          <controlPr defaultSize="0" autoLine="0" r:id="rId7">
            <anchor>
              <from>
                <xdr:col>4</xdr:col>
                <xdr:colOff>304800</xdr:colOff>
                <xdr:row>5</xdr:row>
                <xdr:rowOff>247650</xdr:rowOff>
              </from>
              <to>
                <xdr:col>5</xdr:col>
                <xdr:colOff>685800</xdr:colOff>
                <xdr:row>5</xdr:row>
                <xdr:rowOff>561975</xdr:rowOff>
              </to>
            </anchor>
          </controlPr>
        </control>
      </mc:Choice>
      <mc:Fallback>
        <control shapeId="19458" r:id="rId6" name="生成指定表的SQL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FFFF00"/>
  </sheetPr>
  <dimension ref="A1:B13"/>
  <sheetViews>
    <sheetView workbookViewId="0">
      <selection activeCell="B39" sqref="B39"/>
    </sheetView>
  </sheetViews>
  <sheetFormatPr defaultRowHeight="13.5" x14ac:dyDescent="0.15"/>
  <cols>
    <col min="1" max="1" width="14.25" style="48" customWidth="1"/>
    <col min="2" max="2" width="54.5" customWidth="1"/>
  </cols>
  <sheetData>
    <row r="1" spans="1:2" x14ac:dyDescent="0.15">
      <c r="A1" s="21" t="str">
        <f>HYPERLINK(CONCATENATE("#'目录'!D",MATCH(B1,目录!D:D,0)),"返回")</f>
        <v>返回</v>
      </c>
      <c r="B1" s="23" t="s">
        <v>71</v>
      </c>
    </row>
    <row r="2" spans="1:2" x14ac:dyDescent="0.15">
      <c r="A2" s="46" t="s">
        <v>62</v>
      </c>
      <c r="B2" s="45" t="s">
        <v>63</v>
      </c>
    </row>
    <row r="3" spans="1:2" x14ac:dyDescent="0.15">
      <c r="A3" s="47"/>
      <c r="B3" s="49"/>
    </row>
    <row r="4" spans="1:2" x14ac:dyDescent="0.15">
      <c r="A4" s="47"/>
      <c r="B4" s="49"/>
    </row>
    <row r="5" spans="1:2" x14ac:dyDescent="0.15">
      <c r="A5" s="47"/>
      <c r="B5" s="50"/>
    </row>
    <row r="6" spans="1:2" x14ac:dyDescent="0.15">
      <c r="A6" s="47"/>
      <c r="B6" s="50"/>
    </row>
    <row r="7" spans="1:2" x14ac:dyDescent="0.15">
      <c r="A7" s="47"/>
      <c r="B7" s="50"/>
    </row>
    <row r="8" spans="1:2" x14ac:dyDescent="0.15">
      <c r="A8" s="47"/>
      <c r="B8" s="50"/>
    </row>
    <row r="9" spans="1:2" x14ac:dyDescent="0.15">
      <c r="A9" s="47"/>
      <c r="B9" s="50"/>
    </row>
    <row r="10" spans="1:2" x14ac:dyDescent="0.15">
      <c r="A10" s="47"/>
      <c r="B10" s="50"/>
    </row>
    <row r="11" spans="1:2" x14ac:dyDescent="0.15">
      <c r="A11" s="47"/>
      <c r="B11" s="50"/>
    </row>
    <row r="12" spans="1:2" x14ac:dyDescent="0.15">
      <c r="A12" s="47"/>
      <c r="B12" s="50"/>
    </row>
    <row r="13" spans="1:2" x14ac:dyDescent="0.15">
      <c r="A13" s="47"/>
      <c r="B13" s="50"/>
    </row>
  </sheetData>
  <dataConsolidate/>
  <phoneticPr fontId="2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F0"/>
  </sheetPr>
  <dimension ref="A1:J151"/>
  <sheetViews>
    <sheetView workbookViewId="0">
      <pane xSplit="1" ySplit="1" topLeftCell="B8" activePane="bottomRight" state="frozen"/>
      <selection pane="topRight" activeCell="B1" sqref="B1"/>
      <selection pane="bottomLeft" activeCell="A2" sqref="A2"/>
      <selection pane="bottomRight" activeCell="E10" sqref="E10"/>
    </sheetView>
  </sheetViews>
  <sheetFormatPr defaultColWidth="9" defaultRowHeight="13.5" x14ac:dyDescent="0.15"/>
  <cols>
    <col min="1" max="1" width="5.25" style="6" customWidth="1"/>
    <col min="2" max="2" width="11.5" style="6" customWidth="1"/>
    <col min="3" max="3" width="23.5" style="62" customWidth="1"/>
    <col min="4" max="4" width="23.875" style="6" bestFit="1" customWidth="1"/>
    <col min="5" max="5" width="22.125" style="6" customWidth="1"/>
    <col min="6" max="6" width="8.25" style="10" customWidth="1"/>
    <col min="7" max="7" width="49.875" style="6" customWidth="1"/>
    <col min="8" max="8" width="11.625" style="5" bestFit="1" customWidth="1"/>
    <col min="9" max="16384" width="9" style="6"/>
  </cols>
  <sheetData>
    <row r="1" spans="1:10" s="1" customFormat="1" x14ac:dyDescent="0.15">
      <c r="A1" s="9" t="s">
        <v>0</v>
      </c>
      <c r="B1" s="9" t="s">
        <v>4</v>
      </c>
      <c r="C1" s="9" t="s">
        <v>5</v>
      </c>
      <c r="D1" s="31" t="s">
        <v>9</v>
      </c>
      <c r="E1" s="9" t="s">
        <v>1</v>
      </c>
      <c r="F1" s="9" t="s">
        <v>6</v>
      </c>
      <c r="G1" s="9" t="s">
        <v>2</v>
      </c>
      <c r="H1" s="9" t="s">
        <v>65</v>
      </c>
    </row>
    <row r="2" spans="1:10" x14ac:dyDescent="0.15">
      <c r="A2" s="2">
        <f t="shared" ref="A2:A66" si="0">ROW()-ROW(A$1)</f>
        <v>1</v>
      </c>
      <c r="B2" s="8"/>
      <c r="C2" s="61"/>
      <c r="D2" s="30" t="s">
        <v>69</v>
      </c>
      <c r="E2" s="3"/>
      <c r="F2" s="15" t="str">
        <f>HYPERLINK("#'"&amp;目录!D2&amp;"'!A1","====&gt;&gt;")</f>
        <v>====&gt;&gt;</v>
      </c>
      <c r="G2" s="4"/>
      <c r="H2" s="56" t="s">
        <v>67</v>
      </c>
      <c r="I2" s="16"/>
      <c r="J2" s="16"/>
    </row>
    <row r="3" spans="1:10" x14ac:dyDescent="0.15">
      <c r="A3" s="2">
        <f t="shared" si="0"/>
        <v>2</v>
      </c>
      <c r="B3" s="8"/>
      <c r="C3" s="61"/>
      <c r="D3" s="30" t="s">
        <v>70</v>
      </c>
      <c r="E3" s="3"/>
      <c r="F3" s="15" t="str">
        <f t="shared" ref="F3:F22" si="1">HYPERLINK("#'"&amp;D3&amp;"'!A1","====&gt;&gt;")</f>
        <v>====&gt;&gt;</v>
      </c>
      <c r="G3" s="4"/>
      <c r="H3" s="56" t="s">
        <v>66</v>
      </c>
      <c r="I3" s="16"/>
      <c r="J3" s="16"/>
    </row>
    <row r="4" spans="1:10" x14ac:dyDescent="0.15">
      <c r="A4" s="2">
        <f t="shared" si="0"/>
        <v>3</v>
      </c>
      <c r="B4" s="8"/>
      <c r="C4" s="61"/>
      <c r="D4" s="30" t="s">
        <v>81</v>
      </c>
      <c r="E4" s="3"/>
      <c r="F4" s="15" t="str">
        <f t="shared" si="1"/>
        <v>====&gt;&gt;</v>
      </c>
      <c r="G4" s="4"/>
      <c r="H4" s="56" t="s">
        <v>66</v>
      </c>
      <c r="I4" s="16"/>
      <c r="J4" s="16"/>
    </row>
    <row r="5" spans="1:10" x14ac:dyDescent="0.15">
      <c r="A5" s="2">
        <f t="shared" si="0"/>
        <v>4</v>
      </c>
      <c r="B5" s="8" t="s">
        <v>28</v>
      </c>
      <c r="C5" s="61"/>
      <c r="D5" s="30"/>
      <c r="E5" s="3"/>
      <c r="F5" s="15" t="str">
        <f t="shared" si="1"/>
        <v>====&gt;&gt;</v>
      </c>
      <c r="G5" s="38"/>
      <c r="H5" s="51" t="s">
        <v>17</v>
      </c>
      <c r="I5" s="16"/>
      <c r="J5" s="16"/>
    </row>
    <row r="6" spans="1:10" x14ac:dyDescent="0.15">
      <c r="A6" s="2">
        <f t="shared" si="0"/>
        <v>5</v>
      </c>
      <c r="B6" s="8"/>
      <c r="C6" s="61"/>
      <c r="D6" s="30"/>
      <c r="E6" s="3"/>
      <c r="F6" s="15" t="str">
        <f t="shared" si="1"/>
        <v>====&gt;&gt;</v>
      </c>
      <c r="G6" s="38"/>
      <c r="H6" s="51" t="s">
        <v>17</v>
      </c>
      <c r="I6" s="16"/>
      <c r="J6" s="16"/>
    </row>
    <row r="7" spans="1:10" x14ac:dyDescent="0.15">
      <c r="A7" s="2">
        <f t="shared" si="0"/>
        <v>6</v>
      </c>
      <c r="B7" s="8"/>
      <c r="C7" s="61"/>
      <c r="D7" s="30"/>
      <c r="E7" s="3"/>
      <c r="F7" s="15" t="str">
        <f t="shared" ref="F7" si="2">HYPERLINK("#'"&amp;D7&amp;"'!A1","====&gt;&gt;")</f>
        <v>====&gt;&gt;</v>
      </c>
      <c r="G7" s="38"/>
      <c r="H7" s="51" t="s">
        <v>17</v>
      </c>
      <c r="I7" s="16"/>
      <c r="J7" s="16"/>
    </row>
    <row r="8" spans="1:10" x14ac:dyDescent="0.15">
      <c r="A8" s="2">
        <f t="shared" si="0"/>
        <v>7</v>
      </c>
      <c r="B8" s="8"/>
      <c r="C8" s="61"/>
      <c r="D8" s="30"/>
      <c r="E8" s="3"/>
      <c r="F8" s="15" t="str">
        <f t="shared" si="1"/>
        <v>====&gt;&gt;</v>
      </c>
      <c r="G8" s="38"/>
      <c r="H8" s="51" t="s">
        <v>17</v>
      </c>
      <c r="I8" s="16"/>
      <c r="J8" s="16"/>
    </row>
    <row r="9" spans="1:10" x14ac:dyDescent="0.15">
      <c r="A9" s="2">
        <f t="shared" si="0"/>
        <v>8</v>
      </c>
      <c r="B9" s="8"/>
      <c r="C9" s="61"/>
      <c r="D9" s="30"/>
      <c r="E9" s="3"/>
      <c r="F9" s="15" t="str">
        <f t="shared" ref="F9" si="3">HYPERLINK("#'"&amp;D9&amp;"'!A1","====&gt;&gt;")</f>
        <v>====&gt;&gt;</v>
      </c>
      <c r="G9" s="38"/>
      <c r="H9" s="51" t="s">
        <v>17</v>
      </c>
      <c r="I9" s="16"/>
      <c r="J9" s="16"/>
    </row>
    <row r="10" spans="1:10" x14ac:dyDescent="0.15">
      <c r="A10" s="2">
        <f t="shared" si="0"/>
        <v>9</v>
      </c>
      <c r="B10" s="8"/>
      <c r="C10" s="61"/>
      <c r="D10" s="30"/>
      <c r="E10" s="3"/>
      <c r="F10" s="15" t="str">
        <f t="shared" si="1"/>
        <v>====&gt;&gt;</v>
      </c>
      <c r="G10" s="4"/>
      <c r="H10" s="51" t="s">
        <v>17</v>
      </c>
      <c r="I10" s="16"/>
      <c r="J10" s="16"/>
    </row>
    <row r="11" spans="1:10" x14ac:dyDescent="0.15">
      <c r="A11" s="2">
        <f t="shared" si="0"/>
        <v>10</v>
      </c>
      <c r="B11" s="8"/>
      <c r="C11" s="61"/>
      <c r="D11" s="30"/>
      <c r="E11" s="3"/>
      <c r="F11" s="15" t="str">
        <f t="shared" si="1"/>
        <v>====&gt;&gt;</v>
      </c>
      <c r="G11" s="38"/>
      <c r="H11" s="51" t="s">
        <v>17</v>
      </c>
      <c r="I11" s="16"/>
      <c r="J11" s="16"/>
    </row>
    <row r="12" spans="1:10" x14ac:dyDescent="0.15">
      <c r="A12" s="2">
        <f t="shared" si="0"/>
        <v>11</v>
      </c>
      <c r="B12" s="8"/>
      <c r="C12" s="61"/>
      <c r="D12" s="30"/>
      <c r="E12" s="3"/>
      <c r="F12" s="15" t="str">
        <f t="shared" ref="F12" si="4">HYPERLINK("#'"&amp;D12&amp;"'!A1","====&gt;&gt;")</f>
        <v>====&gt;&gt;</v>
      </c>
      <c r="G12" s="38"/>
      <c r="H12" s="51" t="s">
        <v>17</v>
      </c>
      <c r="I12" s="16"/>
      <c r="J12" s="16"/>
    </row>
    <row r="13" spans="1:10" x14ac:dyDescent="0.15">
      <c r="A13" s="2">
        <f t="shared" si="0"/>
        <v>12</v>
      </c>
      <c r="B13" s="8"/>
      <c r="C13" s="61"/>
      <c r="D13" s="30"/>
      <c r="E13" s="3"/>
      <c r="F13" s="15" t="str">
        <f t="shared" si="1"/>
        <v>====&gt;&gt;</v>
      </c>
      <c r="G13" s="38"/>
      <c r="H13" s="51" t="s">
        <v>17</v>
      </c>
      <c r="I13" s="16"/>
      <c r="J13" s="16"/>
    </row>
    <row r="14" spans="1:10" x14ac:dyDescent="0.15">
      <c r="A14" s="2">
        <f t="shared" si="0"/>
        <v>13</v>
      </c>
      <c r="B14" s="8"/>
      <c r="C14" s="61"/>
      <c r="D14" s="30"/>
      <c r="E14" s="3"/>
      <c r="F14" s="15" t="str">
        <f t="shared" si="1"/>
        <v>====&gt;&gt;</v>
      </c>
      <c r="G14" s="38"/>
      <c r="H14" s="51" t="s">
        <v>17</v>
      </c>
      <c r="I14" s="16"/>
      <c r="J14" s="16"/>
    </row>
    <row r="15" spans="1:10" x14ac:dyDescent="0.15">
      <c r="A15" s="2">
        <f t="shared" si="0"/>
        <v>14</v>
      </c>
      <c r="B15" s="8"/>
      <c r="C15" s="61"/>
      <c r="D15" s="30"/>
      <c r="E15" s="3"/>
      <c r="F15" s="15" t="str">
        <f t="shared" si="1"/>
        <v>====&gt;&gt;</v>
      </c>
      <c r="G15" s="4"/>
      <c r="H15" s="51" t="s">
        <v>17</v>
      </c>
      <c r="I15" s="16"/>
      <c r="J15" s="16"/>
    </row>
    <row r="16" spans="1:10" x14ac:dyDescent="0.15">
      <c r="A16" s="2">
        <f t="shared" si="0"/>
        <v>15</v>
      </c>
      <c r="B16" s="8"/>
      <c r="C16" s="61"/>
      <c r="D16" s="30"/>
      <c r="E16" s="3"/>
      <c r="F16" s="15" t="str">
        <f t="shared" si="1"/>
        <v>====&gt;&gt;</v>
      </c>
      <c r="G16" s="4"/>
      <c r="H16" s="51" t="s">
        <v>17</v>
      </c>
      <c r="I16" s="16"/>
      <c r="J16" s="16"/>
    </row>
    <row r="17" spans="1:10" ht="13.5" customHeight="1" x14ac:dyDescent="0.15">
      <c r="A17" s="2">
        <f t="shared" si="0"/>
        <v>16</v>
      </c>
      <c r="B17" s="8"/>
      <c r="C17" s="61"/>
      <c r="D17" s="30"/>
      <c r="E17" s="3"/>
      <c r="F17" s="15" t="str">
        <f t="shared" si="1"/>
        <v>====&gt;&gt;</v>
      </c>
      <c r="G17" s="7"/>
      <c r="H17" s="51" t="s">
        <v>17</v>
      </c>
      <c r="I17" s="16"/>
      <c r="J17" s="16"/>
    </row>
    <row r="18" spans="1:10" x14ac:dyDescent="0.15">
      <c r="A18" s="2">
        <f t="shared" si="0"/>
        <v>17</v>
      </c>
      <c r="B18" s="8"/>
      <c r="C18" s="61"/>
      <c r="D18" s="30"/>
      <c r="E18" s="3"/>
      <c r="F18" s="15" t="str">
        <f t="shared" si="1"/>
        <v>====&gt;&gt;</v>
      </c>
      <c r="G18" s="41"/>
      <c r="H18" s="51" t="s">
        <v>17</v>
      </c>
      <c r="I18" s="16"/>
      <c r="J18" s="16"/>
    </row>
    <row r="19" spans="1:10" x14ac:dyDescent="0.15">
      <c r="A19" s="2">
        <f t="shared" si="0"/>
        <v>18</v>
      </c>
      <c r="B19" s="8"/>
      <c r="C19" s="61"/>
      <c r="D19" s="30"/>
      <c r="E19" s="3"/>
      <c r="F19" s="15" t="str">
        <f t="shared" si="1"/>
        <v>====&gt;&gt;</v>
      </c>
      <c r="G19" s="41"/>
      <c r="H19" s="51" t="s">
        <v>17</v>
      </c>
      <c r="I19" s="16"/>
      <c r="J19" s="16"/>
    </row>
    <row r="20" spans="1:10" ht="13.5" customHeight="1" x14ac:dyDescent="0.15">
      <c r="A20" s="2">
        <f t="shared" si="0"/>
        <v>19</v>
      </c>
      <c r="B20" s="8"/>
      <c r="C20" s="61"/>
      <c r="D20" s="30"/>
      <c r="E20" s="3"/>
      <c r="F20" s="15" t="str">
        <f t="shared" si="1"/>
        <v>====&gt;&gt;</v>
      </c>
      <c r="G20" s="40"/>
      <c r="H20" s="51" t="s">
        <v>17</v>
      </c>
      <c r="I20" s="16"/>
      <c r="J20" s="16"/>
    </row>
    <row r="21" spans="1:10" ht="13.5" customHeight="1" x14ac:dyDescent="0.15">
      <c r="A21" s="2">
        <f t="shared" si="0"/>
        <v>20</v>
      </c>
      <c r="B21" s="8"/>
      <c r="C21" s="61"/>
      <c r="D21" s="30"/>
      <c r="E21" s="3"/>
      <c r="F21" s="15" t="str">
        <f t="shared" si="1"/>
        <v>====&gt;&gt;</v>
      </c>
      <c r="G21" s="39"/>
      <c r="H21" s="51" t="s">
        <v>17</v>
      </c>
      <c r="I21" s="16"/>
      <c r="J21" s="16"/>
    </row>
    <row r="22" spans="1:10" x14ac:dyDescent="0.15">
      <c r="A22" s="2">
        <f t="shared" si="0"/>
        <v>21</v>
      </c>
      <c r="B22" s="8"/>
      <c r="C22" s="61"/>
      <c r="D22" s="30"/>
      <c r="E22" s="3"/>
      <c r="F22" s="15" t="str">
        <f t="shared" si="1"/>
        <v>====&gt;&gt;</v>
      </c>
      <c r="G22" s="7"/>
      <c r="H22" s="51" t="s">
        <v>17</v>
      </c>
      <c r="I22" s="16"/>
      <c r="J22" s="16"/>
    </row>
    <row r="23" spans="1:10" x14ac:dyDescent="0.15">
      <c r="A23" s="2">
        <f t="shared" si="0"/>
        <v>22</v>
      </c>
      <c r="B23" s="8"/>
      <c r="C23" s="61"/>
      <c r="D23" s="30"/>
      <c r="E23" s="3"/>
      <c r="F23" s="15" t="str">
        <f t="shared" ref="F23" si="5">HYPERLINK("#'"&amp;D23&amp;"'!A1","====&gt;&gt;")</f>
        <v>====&gt;&gt;</v>
      </c>
      <c r="G23" s="40"/>
      <c r="H23" s="51" t="s">
        <v>17</v>
      </c>
      <c r="I23" s="16"/>
      <c r="J23" s="16"/>
    </row>
    <row r="24" spans="1:10" x14ac:dyDescent="0.15">
      <c r="A24" s="2">
        <f t="shared" si="0"/>
        <v>23</v>
      </c>
      <c r="B24" s="8"/>
      <c r="C24" s="61"/>
      <c r="D24" s="30"/>
      <c r="E24" s="3"/>
      <c r="F24" s="15" t="str">
        <f t="shared" ref="F24:F68" si="6">HYPERLINK("#'"&amp;D24&amp;"'!A1","====&gt;&gt;")</f>
        <v>====&gt;&gt;</v>
      </c>
      <c r="G24" s="7" t="s">
        <v>3</v>
      </c>
      <c r="H24" s="51" t="s">
        <v>17</v>
      </c>
    </row>
    <row r="25" spans="1:10" x14ac:dyDescent="0.15">
      <c r="A25" s="2">
        <f t="shared" si="0"/>
        <v>24</v>
      </c>
      <c r="B25" s="8"/>
      <c r="C25" s="61"/>
      <c r="D25" s="30"/>
      <c r="E25" s="3"/>
      <c r="F25" s="15" t="str">
        <f>HYPERLINK("#'"&amp;D25&amp;"'!A1","====&gt;&gt;")</f>
        <v>====&gt;&gt;</v>
      </c>
      <c r="G25" s="7" t="s">
        <v>3</v>
      </c>
      <c r="H25" s="51" t="s">
        <v>17</v>
      </c>
      <c r="I25" s="16"/>
      <c r="J25" s="16"/>
    </row>
    <row r="26" spans="1:10" x14ac:dyDescent="0.15">
      <c r="A26" s="2">
        <f t="shared" si="0"/>
        <v>25</v>
      </c>
      <c r="B26" s="8"/>
      <c r="C26" s="61"/>
      <c r="D26" s="30"/>
      <c r="E26" s="3"/>
      <c r="F26" s="15" t="str">
        <f t="shared" ref="F26" si="7">HYPERLINK("#'"&amp;D26&amp;"'!A1","====&gt;&gt;")</f>
        <v>====&gt;&gt;</v>
      </c>
      <c r="G26" s="7" t="s">
        <v>3</v>
      </c>
      <c r="H26" s="51" t="s">
        <v>17</v>
      </c>
    </row>
    <row r="27" spans="1:10" x14ac:dyDescent="0.15">
      <c r="A27" s="2">
        <f t="shared" si="0"/>
        <v>26</v>
      </c>
      <c r="B27" s="8"/>
      <c r="C27" s="61"/>
      <c r="D27" s="30"/>
      <c r="E27" s="3"/>
      <c r="F27" s="15" t="str">
        <f>HYPERLINK("#'"&amp;D27&amp;"'!A1","====&gt;&gt;")</f>
        <v>====&gt;&gt;</v>
      </c>
      <c r="G27" s="7" t="s">
        <v>3</v>
      </c>
      <c r="H27" s="51" t="s">
        <v>17</v>
      </c>
      <c r="I27" s="16"/>
      <c r="J27" s="16"/>
    </row>
    <row r="28" spans="1:10" x14ac:dyDescent="0.15">
      <c r="A28" s="2">
        <f t="shared" si="0"/>
        <v>27</v>
      </c>
      <c r="B28" s="8"/>
      <c r="C28" s="61"/>
      <c r="D28" s="30"/>
      <c r="E28" s="3"/>
      <c r="F28" s="15" t="str">
        <f t="shared" si="6"/>
        <v>====&gt;&gt;</v>
      </c>
      <c r="G28" s="7" t="s">
        <v>3</v>
      </c>
      <c r="H28" s="51" t="s">
        <v>17</v>
      </c>
    </row>
    <row r="29" spans="1:10" x14ac:dyDescent="0.15">
      <c r="A29" s="2">
        <f t="shared" si="0"/>
        <v>28</v>
      </c>
      <c r="B29" s="8"/>
      <c r="C29" s="61"/>
      <c r="D29" s="30"/>
      <c r="E29" s="3"/>
      <c r="F29" s="15" t="str">
        <f t="shared" si="6"/>
        <v>====&gt;&gt;</v>
      </c>
      <c r="G29" s="7" t="s">
        <v>3</v>
      </c>
      <c r="H29" s="51" t="s">
        <v>17</v>
      </c>
    </row>
    <row r="30" spans="1:10" x14ac:dyDescent="0.15">
      <c r="A30" s="2">
        <f t="shared" si="0"/>
        <v>29</v>
      </c>
      <c r="B30" s="8"/>
      <c r="C30" s="61"/>
      <c r="D30" s="30"/>
      <c r="E30" s="3"/>
      <c r="F30" s="15" t="str">
        <f>HYPERLINK("#'"&amp;D30&amp;"'!A1","====&gt;&gt;")</f>
        <v>====&gt;&gt;</v>
      </c>
      <c r="G30" s="7" t="s">
        <v>3</v>
      </c>
      <c r="H30" s="51" t="s">
        <v>17</v>
      </c>
      <c r="I30" s="16"/>
      <c r="J30" s="16"/>
    </row>
    <row r="31" spans="1:10" x14ac:dyDescent="0.15">
      <c r="A31" s="2">
        <f t="shared" si="0"/>
        <v>30</v>
      </c>
      <c r="B31" s="8"/>
      <c r="C31" s="61"/>
      <c r="D31" s="30"/>
      <c r="E31" s="3"/>
      <c r="F31" s="15" t="str">
        <f>HYPERLINK("#'"&amp;D31&amp;"'!A1","====&gt;&gt;")</f>
        <v>====&gt;&gt;</v>
      </c>
      <c r="G31" s="7" t="s">
        <v>3</v>
      </c>
      <c r="H31" s="51" t="s">
        <v>17</v>
      </c>
      <c r="I31" s="16"/>
      <c r="J31" s="16"/>
    </row>
    <row r="32" spans="1:10" x14ac:dyDescent="0.15">
      <c r="A32" s="2">
        <f t="shared" si="0"/>
        <v>31</v>
      </c>
      <c r="B32" s="8"/>
      <c r="C32" s="61"/>
      <c r="D32" s="30"/>
      <c r="E32" s="3"/>
      <c r="F32" s="15" t="str">
        <f t="shared" ref="F32:F35" si="8">HYPERLINK("#'"&amp;D32&amp;"'!A1","====&gt;&gt;")</f>
        <v>====&gt;&gt;</v>
      </c>
      <c r="G32" s="7" t="s">
        <v>3</v>
      </c>
      <c r="H32" s="51" t="s">
        <v>17</v>
      </c>
    </row>
    <row r="33" spans="1:10" x14ac:dyDescent="0.15">
      <c r="A33" s="2">
        <f t="shared" si="0"/>
        <v>32</v>
      </c>
      <c r="B33" s="8"/>
      <c r="C33" s="61"/>
      <c r="D33" s="30"/>
      <c r="E33" s="3"/>
      <c r="F33" s="15" t="str">
        <f t="shared" si="8"/>
        <v>====&gt;&gt;</v>
      </c>
      <c r="G33" s="7" t="s">
        <v>3</v>
      </c>
      <c r="H33" s="51" t="s">
        <v>17</v>
      </c>
      <c r="I33" s="16"/>
      <c r="J33" s="16"/>
    </row>
    <row r="34" spans="1:10" x14ac:dyDescent="0.15">
      <c r="A34" s="2">
        <f t="shared" si="0"/>
        <v>33</v>
      </c>
      <c r="B34" s="8"/>
      <c r="C34" s="61"/>
      <c r="D34" s="30"/>
      <c r="E34" s="3"/>
      <c r="F34" s="15" t="str">
        <f t="shared" si="8"/>
        <v>====&gt;&gt;</v>
      </c>
      <c r="G34" s="7" t="s">
        <v>3</v>
      </c>
      <c r="H34" s="51" t="s">
        <v>17</v>
      </c>
    </row>
    <row r="35" spans="1:10" x14ac:dyDescent="0.15">
      <c r="A35" s="2">
        <f t="shared" si="0"/>
        <v>34</v>
      </c>
      <c r="B35" s="8"/>
      <c r="C35" s="61"/>
      <c r="D35" s="30"/>
      <c r="E35" s="3"/>
      <c r="F35" s="15" t="str">
        <f t="shared" si="8"/>
        <v>====&gt;&gt;</v>
      </c>
      <c r="G35" s="7" t="s">
        <v>3</v>
      </c>
      <c r="H35" s="51" t="s">
        <v>17</v>
      </c>
    </row>
    <row r="36" spans="1:10" x14ac:dyDescent="0.15">
      <c r="A36" s="2">
        <f t="shared" si="0"/>
        <v>35</v>
      </c>
      <c r="B36" s="8"/>
      <c r="C36" s="61"/>
      <c r="D36" s="30"/>
      <c r="E36" s="3"/>
      <c r="F36" s="15" t="str">
        <f t="shared" ref="F36:F38" si="9">HYPERLINK("#'"&amp;D36&amp;"'!A1","====&gt;&gt;")</f>
        <v>====&gt;&gt;</v>
      </c>
      <c r="G36" s="7" t="s">
        <v>3</v>
      </c>
      <c r="H36" s="51" t="s">
        <v>17</v>
      </c>
    </row>
    <row r="37" spans="1:10" x14ac:dyDescent="0.15">
      <c r="A37" s="2">
        <f t="shared" si="0"/>
        <v>36</v>
      </c>
      <c r="B37" s="8"/>
      <c r="C37" s="61"/>
      <c r="D37" s="30"/>
      <c r="E37" s="3"/>
      <c r="F37" s="15" t="str">
        <f t="shared" ref="F37" si="10">HYPERLINK("#'"&amp;D37&amp;"'!A1","====&gt;&gt;")</f>
        <v>====&gt;&gt;</v>
      </c>
      <c r="G37" s="7" t="s">
        <v>3</v>
      </c>
      <c r="H37" s="51" t="s">
        <v>17</v>
      </c>
    </row>
    <row r="38" spans="1:10" x14ac:dyDescent="0.15">
      <c r="A38" s="2">
        <f t="shared" si="0"/>
        <v>37</v>
      </c>
      <c r="B38" s="8"/>
      <c r="C38" s="61"/>
      <c r="D38" s="30"/>
      <c r="E38" s="3"/>
      <c r="F38" s="15" t="str">
        <f t="shared" si="9"/>
        <v>====&gt;&gt;</v>
      </c>
      <c r="G38" s="7"/>
      <c r="H38" s="51" t="s">
        <v>17</v>
      </c>
    </row>
    <row r="39" spans="1:10" x14ac:dyDescent="0.15">
      <c r="A39" s="2">
        <f t="shared" si="0"/>
        <v>38</v>
      </c>
      <c r="B39" s="8"/>
      <c r="C39" s="61"/>
      <c r="D39" s="30"/>
      <c r="E39" s="3"/>
      <c r="F39" s="15" t="str">
        <f t="shared" si="6"/>
        <v>====&gt;&gt;</v>
      </c>
      <c r="G39" s="7" t="s">
        <v>3</v>
      </c>
      <c r="H39" s="51" t="s">
        <v>17</v>
      </c>
    </row>
    <row r="40" spans="1:10" x14ac:dyDescent="0.15">
      <c r="A40" s="2">
        <f t="shared" si="0"/>
        <v>39</v>
      </c>
      <c r="B40" s="8"/>
      <c r="C40" s="61"/>
      <c r="D40" s="30"/>
      <c r="E40" s="3"/>
      <c r="F40" s="15" t="str">
        <f t="shared" si="6"/>
        <v>====&gt;&gt;</v>
      </c>
      <c r="G40" s="7"/>
      <c r="H40" s="51" t="s">
        <v>17</v>
      </c>
    </row>
    <row r="41" spans="1:10" x14ac:dyDescent="0.15">
      <c r="A41" s="2">
        <f t="shared" si="0"/>
        <v>40</v>
      </c>
      <c r="B41" s="8"/>
      <c r="C41" s="61"/>
      <c r="D41" s="30"/>
      <c r="E41" s="3"/>
      <c r="F41" s="15" t="str">
        <f t="shared" si="6"/>
        <v>====&gt;&gt;</v>
      </c>
      <c r="G41" s="7"/>
      <c r="H41" s="51" t="s">
        <v>17</v>
      </c>
    </row>
    <row r="42" spans="1:10" x14ac:dyDescent="0.15">
      <c r="A42" s="2">
        <f t="shared" si="0"/>
        <v>41</v>
      </c>
      <c r="B42" s="8"/>
      <c r="C42" s="61"/>
      <c r="D42" s="30"/>
      <c r="E42" s="3"/>
      <c r="F42" s="15" t="str">
        <f t="shared" ref="F42:F47" si="11">HYPERLINK("#'"&amp;D42&amp;"'!A1","====&gt;&gt;")</f>
        <v>====&gt;&gt;</v>
      </c>
      <c r="G42" s="7"/>
      <c r="H42" s="51" t="s">
        <v>17</v>
      </c>
      <c r="I42" s="16"/>
      <c r="J42" s="16"/>
    </row>
    <row r="43" spans="1:10" x14ac:dyDescent="0.15">
      <c r="A43" s="2">
        <f t="shared" si="0"/>
        <v>42</v>
      </c>
      <c r="B43" s="8"/>
      <c r="C43" s="61"/>
      <c r="D43" s="30"/>
      <c r="E43" s="3"/>
      <c r="F43" s="15" t="str">
        <f t="shared" si="11"/>
        <v>====&gt;&gt;</v>
      </c>
      <c r="G43" s="41"/>
      <c r="H43" s="51" t="s">
        <v>17</v>
      </c>
      <c r="I43" s="16"/>
      <c r="J43" s="16"/>
    </row>
    <row r="44" spans="1:10" x14ac:dyDescent="0.15">
      <c r="A44" s="2">
        <f t="shared" si="0"/>
        <v>43</v>
      </c>
      <c r="B44" s="8"/>
      <c r="C44" s="61"/>
      <c r="D44" s="30"/>
      <c r="E44" s="3"/>
      <c r="F44" s="15" t="str">
        <f t="shared" si="11"/>
        <v>====&gt;&gt;</v>
      </c>
      <c r="G44" s="41"/>
      <c r="H44" s="51" t="s">
        <v>17</v>
      </c>
      <c r="I44" s="16"/>
      <c r="J44" s="16"/>
    </row>
    <row r="45" spans="1:10" x14ac:dyDescent="0.15">
      <c r="A45" s="2">
        <f t="shared" si="0"/>
        <v>44</v>
      </c>
      <c r="B45" s="8"/>
      <c r="C45" s="61"/>
      <c r="D45" s="30"/>
      <c r="E45" s="3"/>
      <c r="F45" s="15" t="str">
        <f t="shared" si="11"/>
        <v>====&gt;&gt;</v>
      </c>
      <c r="G45" s="41"/>
      <c r="H45" s="51" t="s">
        <v>17</v>
      </c>
      <c r="I45" s="16"/>
      <c r="J45" s="16"/>
    </row>
    <row r="46" spans="1:10" x14ac:dyDescent="0.15">
      <c r="A46" s="2">
        <f t="shared" si="0"/>
        <v>45</v>
      </c>
      <c r="B46" s="8"/>
      <c r="C46" s="61"/>
      <c r="D46" s="30"/>
      <c r="E46" s="3"/>
      <c r="F46" s="15" t="str">
        <f t="shared" si="11"/>
        <v>====&gt;&gt;</v>
      </c>
      <c r="G46" s="7"/>
      <c r="H46" s="51" t="s">
        <v>17</v>
      </c>
      <c r="I46" s="16"/>
      <c r="J46" s="16"/>
    </row>
    <row r="47" spans="1:10" x14ac:dyDescent="0.15">
      <c r="A47" s="2">
        <f t="shared" si="0"/>
        <v>46</v>
      </c>
      <c r="B47" s="8"/>
      <c r="C47" s="61"/>
      <c r="D47" s="30"/>
      <c r="E47" s="3"/>
      <c r="F47" s="15" t="str">
        <f t="shared" si="11"/>
        <v>====&gt;&gt;</v>
      </c>
      <c r="G47" s="7"/>
      <c r="H47" s="51" t="s">
        <v>17</v>
      </c>
      <c r="I47" s="16"/>
      <c r="J47" s="16"/>
    </row>
    <row r="48" spans="1:10" x14ac:dyDescent="0.15">
      <c r="A48" s="2">
        <f t="shared" si="0"/>
        <v>47</v>
      </c>
      <c r="B48" s="8"/>
      <c r="C48" s="61"/>
      <c r="D48" s="30"/>
      <c r="E48" s="3"/>
      <c r="F48" s="15" t="str">
        <f t="shared" si="6"/>
        <v>====&gt;&gt;</v>
      </c>
      <c r="G48" s="7"/>
      <c r="H48" s="51" t="s">
        <v>17</v>
      </c>
    </row>
    <row r="49" spans="1:8" x14ac:dyDescent="0.15">
      <c r="A49" s="2">
        <f t="shared" si="0"/>
        <v>48</v>
      </c>
      <c r="B49" s="8"/>
      <c r="C49" s="61"/>
      <c r="D49" s="30"/>
      <c r="E49" s="3"/>
      <c r="F49" s="15" t="str">
        <f t="shared" si="6"/>
        <v>====&gt;&gt;</v>
      </c>
      <c r="G49" s="7"/>
      <c r="H49" s="51" t="s">
        <v>17</v>
      </c>
    </row>
    <row r="50" spans="1:8" x14ac:dyDescent="0.15">
      <c r="A50" s="2">
        <f t="shared" si="0"/>
        <v>49</v>
      </c>
      <c r="B50" s="8"/>
      <c r="C50" s="61"/>
      <c r="D50" s="30"/>
      <c r="E50" s="3"/>
      <c r="F50" s="15" t="str">
        <f t="shared" si="6"/>
        <v>====&gt;&gt;</v>
      </c>
      <c r="G50" s="7" t="s">
        <v>3</v>
      </c>
      <c r="H50" s="51" t="s">
        <v>17</v>
      </c>
    </row>
    <row r="51" spans="1:8" x14ac:dyDescent="0.15">
      <c r="A51" s="2">
        <f t="shared" si="0"/>
        <v>50</v>
      </c>
      <c r="B51" s="8"/>
      <c r="C51" s="61"/>
      <c r="D51" s="30"/>
      <c r="E51" s="3"/>
      <c r="F51" s="15" t="str">
        <f t="shared" si="6"/>
        <v>====&gt;&gt;</v>
      </c>
      <c r="G51" s="7" t="s">
        <v>3</v>
      </c>
      <c r="H51" s="51" t="s">
        <v>17</v>
      </c>
    </row>
    <row r="52" spans="1:8" x14ac:dyDescent="0.15">
      <c r="A52" s="2">
        <f t="shared" si="0"/>
        <v>51</v>
      </c>
      <c r="B52" s="8"/>
      <c r="C52" s="61"/>
      <c r="D52" s="30"/>
      <c r="E52" s="3"/>
      <c r="F52" s="15" t="str">
        <f t="shared" si="6"/>
        <v>====&gt;&gt;</v>
      </c>
      <c r="G52" s="7" t="s">
        <v>3</v>
      </c>
      <c r="H52" s="51" t="s">
        <v>17</v>
      </c>
    </row>
    <row r="53" spans="1:8" x14ac:dyDescent="0.15">
      <c r="A53" s="2">
        <f t="shared" si="0"/>
        <v>52</v>
      </c>
      <c r="B53" s="8"/>
      <c r="C53" s="61"/>
      <c r="D53" s="30"/>
      <c r="E53" s="3"/>
      <c r="F53" s="15" t="str">
        <f t="shared" si="6"/>
        <v>====&gt;&gt;</v>
      </c>
      <c r="G53" s="7" t="s">
        <v>3</v>
      </c>
      <c r="H53" s="51" t="s">
        <v>17</v>
      </c>
    </row>
    <row r="54" spans="1:8" x14ac:dyDescent="0.15">
      <c r="A54" s="2">
        <f t="shared" si="0"/>
        <v>53</v>
      </c>
      <c r="B54" s="8"/>
      <c r="C54" s="61"/>
      <c r="D54" s="30"/>
      <c r="E54" s="3"/>
      <c r="F54" s="15" t="str">
        <f t="shared" si="6"/>
        <v>====&gt;&gt;</v>
      </c>
      <c r="G54" s="7" t="s">
        <v>3</v>
      </c>
      <c r="H54" s="51" t="s">
        <v>17</v>
      </c>
    </row>
    <row r="55" spans="1:8" x14ac:dyDescent="0.15">
      <c r="A55" s="2">
        <f t="shared" si="0"/>
        <v>54</v>
      </c>
      <c r="B55" s="8"/>
      <c r="C55" s="61"/>
      <c r="D55" s="30"/>
      <c r="E55" s="3"/>
      <c r="F55" s="15" t="str">
        <f t="shared" si="6"/>
        <v>====&gt;&gt;</v>
      </c>
      <c r="G55" s="7" t="s">
        <v>3</v>
      </c>
      <c r="H55" s="51" t="s">
        <v>17</v>
      </c>
    </row>
    <row r="56" spans="1:8" x14ac:dyDescent="0.15">
      <c r="A56" s="2">
        <f t="shared" si="0"/>
        <v>55</v>
      </c>
      <c r="B56" s="8"/>
      <c r="C56" s="61"/>
      <c r="D56" s="30"/>
      <c r="E56" s="3"/>
      <c r="F56" s="15" t="str">
        <f t="shared" si="6"/>
        <v>====&gt;&gt;</v>
      </c>
      <c r="G56" s="7" t="s">
        <v>3</v>
      </c>
      <c r="H56" s="51" t="s">
        <v>17</v>
      </c>
    </row>
    <row r="57" spans="1:8" x14ac:dyDescent="0.15">
      <c r="A57" s="2">
        <f t="shared" si="0"/>
        <v>56</v>
      </c>
      <c r="B57" s="8"/>
      <c r="C57" s="61"/>
      <c r="D57" s="30"/>
      <c r="E57" s="3"/>
      <c r="F57" s="15" t="str">
        <f t="shared" si="6"/>
        <v>====&gt;&gt;</v>
      </c>
      <c r="G57" s="7" t="s">
        <v>3</v>
      </c>
      <c r="H57" s="51" t="s">
        <v>17</v>
      </c>
    </row>
    <row r="58" spans="1:8" x14ac:dyDescent="0.15">
      <c r="A58" s="2">
        <f t="shared" si="0"/>
        <v>57</v>
      </c>
      <c r="B58" s="8"/>
      <c r="C58" s="61"/>
      <c r="D58" s="30"/>
      <c r="E58" s="3"/>
      <c r="F58" s="15" t="str">
        <f t="shared" si="6"/>
        <v>====&gt;&gt;</v>
      </c>
      <c r="G58" s="7" t="s">
        <v>3</v>
      </c>
      <c r="H58" s="51" t="s">
        <v>17</v>
      </c>
    </row>
    <row r="59" spans="1:8" x14ac:dyDescent="0.15">
      <c r="A59" s="2">
        <f t="shared" si="0"/>
        <v>58</v>
      </c>
      <c r="B59" s="8"/>
      <c r="C59" s="61"/>
      <c r="D59" s="30"/>
      <c r="E59" s="3"/>
      <c r="F59" s="15" t="str">
        <f t="shared" si="6"/>
        <v>====&gt;&gt;</v>
      </c>
      <c r="G59" s="7" t="s">
        <v>3</v>
      </c>
      <c r="H59" s="51" t="s">
        <v>17</v>
      </c>
    </row>
    <row r="60" spans="1:8" x14ac:dyDescent="0.15">
      <c r="A60" s="2">
        <f t="shared" si="0"/>
        <v>59</v>
      </c>
      <c r="B60" s="8"/>
      <c r="C60" s="61"/>
      <c r="D60" s="30"/>
      <c r="E60" s="3"/>
      <c r="F60" s="15" t="str">
        <f t="shared" si="6"/>
        <v>====&gt;&gt;</v>
      </c>
      <c r="G60" s="7" t="s">
        <v>3</v>
      </c>
      <c r="H60" s="51" t="s">
        <v>17</v>
      </c>
    </row>
    <row r="61" spans="1:8" x14ac:dyDescent="0.15">
      <c r="A61" s="2">
        <f t="shared" si="0"/>
        <v>60</v>
      </c>
      <c r="B61" s="8"/>
      <c r="C61" s="61"/>
      <c r="D61" s="30"/>
      <c r="E61" s="3"/>
      <c r="F61" s="15" t="str">
        <f t="shared" si="6"/>
        <v>====&gt;&gt;</v>
      </c>
      <c r="G61" s="7" t="s">
        <v>3</v>
      </c>
      <c r="H61" s="51" t="s">
        <v>17</v>
      </c>
    </row>
    <row r="62" spans="1:8" x14ac:dyDescent="0.15">
      <c r="A62" s="2">
        <f t="shared" si="0"/>
        <v>61</v>
      </c>
      <c r="B62" s="8"/>
      <c r="C62" s="61"/>
      <c r="D62" s="30"/>
      <c r="E62" s="3"/>
      <c r="F62" s="15" t="str">
        <f t="shared" si="6"/>
        <v>====&gt;&gt;</v>
      </c>
      <c r="G62" s="7" t="s">
        <v>3</v>
      </c>
      <c r="H62" s="51" t="s">
        <v>17</v>
      </c>
    </row>
    <row r="63" spans="1:8" x14ac:dyDescent="0.15">
      <c r="A63" s="2">
        <f t="shared" si="0"/>
        <v>62</v>
      </c>
      <c r="B63" s="8"/>
      <c r="C63" s="61"/>
      <c r="D63" s="30"/>
      <c r="E63" s="3"/>
      <c r="F63" s="15" t="str">
        <f t="shared" si="6"/>
        <v>====&gt;&gt;</v>
      </c>
      <c r="G63" s="7" t="s">
        <v>3</v>
      </c>
      <c r="H63" s="51" t="s">
        <v>17</v>
      </c>
    </row>
    <row r="64" spans="1:8" x14ac:dyDescent="0.15">
      <c r="A64" s="2">
        <f t="shared" si="0"/>
        <v>63</v>
      </c>
      <c r="B64" s="8"/>
      <c r="C64" s="61"/>
      <c r="D64" s="30"/>
      <c r="E64" s="3"/>
      <c r="F64" s="15" t="str">
        <f t="shared" si="6"/>
        <v>====&gt;&gt;</v>
      </c>
      <c r="G64" s="7" t="s">
        <v>3</v>
      </c>
      <c r="H64" s="51" t="s">
        <v>17</v>
      </c>
    </row>
    <row r="65" spans="1:8" x14ac:dyDescent="0.15">
      <c r="A65" s="2">
        <f t="shared" si="0"/>
        <v>64</v>
      </c>
      <c r="B65" s="8"/>
      <c r="C65" s="61"/>
      <c r="D65" s="30"/>
      <c r="E65" s="3"/>
      <c r="F65" s="15" t="str">
        <f t="shared" si="6"/>
        <v>====&gt;&gt;</v>
      </c>
      <c r="G65" s="7" t="s">
        <v>3</v>
      </c>
      <c r="H65" s="51" t="s">
        <v>17</v>
      </c>
    </row>
    <row r="66" spans="1:8" x14ac:dyDescent="0.15">
      <c r="A66" s="2">
        <f t="shared" si="0"/>
        <v>65</v>
      </c>
      <c r="B66" s="8"/>
      <c r="C66" s="61"/>
      <c r="D66" s="30"/>
      <c r="E66" s="3"/>
      <c r="F66" s="15" t="str">
        <f t="shared" si="6"/>
        <v>====&gt;&gt;</v>
      </c>
      <c r="G66" s="7" t="s">
        <v>3</v>
      </c>
      <c r="H66" s="51" t="s">
        <v>17</v>
      </c>
    </row>
    <row r="67" spans="1:8" x14ac:dyDescent="0.15">
      <c r="A67" s="2">
        <f t="shared" ref="A67:A130" si="12">ROW()-ROW(A$1)</f>
        <v>66</v>
      </c>
      <c r="B67" s="8"/>
      <c r="C67" s="61"/>
      <c r="D67" s="30"/>
      <c r="E67" s="3"/>
      <c r="F67" s="15" t="str">
        <f t="shared" si="6"/>
        <v>====&gt;&gt;</v>
      </c>
      <c r="G67" s="7" t="s">
        <v>3</v>
      </c>
      <c r="H67" s="51" t="s">
        <v>17</v>
      </c>
    </row>
    <row r="68" spans="1:8" x14ac:dyDescent="0.15">
      <c r="A68" s="2">
        <f t="shared" si="12"/>
        <v>67</v>
      </c>
      <c r="B68" s="8"/>
      <c r="C68" s="61"/>
      <c r="D68" s="30"/>
      <c r="E68" s="3"/>
      <c r="F68" s="15" t="str">
        <f t="shared" si="6"/>
        <v>====&gt;&gt;</v>
      </c>
      <c r="G68" s="7" t="s">
        <v>3</v>
      </c>
      <c r="H68" s="51" t="s">
        <v>17</v>
      </c>
    </row>
    <row r="69" spans="1:8" x14ac:dyDescent="0.15">
      <c r="A69" s="2">
        <f t="shared" si="12"/>
        <v>68</v>
      </c>
      <c r="B69" s="8"/>
      <c r="C69" s="61"/>
      <c r="D69" s="30"/>
      <c r="E69" s="3"/>
      <c r="F69" s="15" t="str">
        <f t="shared" ref="F69:F100" si="13">HYPERLINK("#'"&amp;D69&amp;"'!A1","====&gt;&gt;")</f>
        <v>====&gt;&gt;</v>
      </c>
      <c r="G69" s="7" t="s">
        <v>3</v>
      </c>
      <c r="H69" s="51" t="s">
        <v>17</v>
      </c>
    </row>
    <row r="70" spans="1:8" x14ac:dyDescent="0.15">
      <c r="A70" s="2">
        <f t="shared" si="12"/>
        <v>69</v>
      </c>
      <c r="B70" s="8"/>
      <c r="C70" s="61"/>
      <c r="D70" s="30"/>
      <c r="E70" s="3"/>
      <c r="F70" s="15" t="str">
        <f t="shared" si="13"/>
        <v>====&gt;&gt;</v>
      </c>
      <c r="G70" s="7" t="s">
        <v>3</v>
      </c>
      <c r="H70" s="51" t="s">
        <v>17</v>
      </c>
    </row>
    <row r="71" spans="1:8" x14ac:dyDescent="0.15">
      <c r="A71" s="2">
        <f t="shared" si="12"/>
        <v>70</v>
      </c>
      <c r="B71" s="8"/>
      <c r="C71" s="61"/>
      <c r="D71" s="30"/>
      <c r="E71" s="3"/>
      <c r="F71" s="15" t="str">
        <f t="shared" si="13"/>
        <v>====&gt;&gt;</v>
      </c>
      <c r="G71" s="7" t="s">
        <v>3</v>
      </c>
      <c r="H71" s="51" t="s">
        <v>17</v>
      </c>
    </row>
    <row r="72" spans="1:8" x14ac:dyDescent="0.15">
      <c r="A72" s="2">
        <f t="shared" si="12"/>
        <v>71</v>
      </c>
      <c r="B72" s="8"/>
      <c r="C72" s="61"/>
      <c r="D72" s="30"/>
      <c r="E72" s="3"/>
      <c r="F72" s="15" t="str">
        <f t="shared" si="13"/>
        <v>====&gt;&gt;</v>
      </c>
      <c r="G72" s="7" t="s">
        <v>3</v>
      </c>
      <c r="H72" s="51" t="s">
        <v>17</v>
      </c>
    </row>
    <row r="73" spans="1:8" x14ac:dyDescent="0.15">
      <c r="A73" s="2">
        <f t="shared" si="12"/>
        <v>72</v>
      </c>
      <c r="B73" s="8"/>
      <c r="C73" s="61"/>
      <c r="D73" s="30"/>
      <c r="E73" s="3"/>
      <c r="F73" s="15" t="str">
        <f t="shared" si="13"/>
        <v>====&gt;&gt;</v>
      </c>
      <c r="G73" s="7" t="s">
        <v>3</v>
      </c>
      <c r="H73" s="51" t="s">
        <v>17</v>
      </c>
    </row>
    <row r="74" spans="1:8" x14ac:dyDescent="0.15">
      <c r="A74" s="2">
        <f t="shared" si="12"/>
        <v>73</v>
      </c>
      <c r="B74" s="8"/>
      <c r="C74" s="61"/>
      <c r="D74" s="30"/>
      <c r="E74" s="3"/>
      <c r="F74" s="15" t="str">
        <f t="shared" si="13"/>
        <v>====&gt;&gt;</v>
      </c>
      <c r="G74" s="7" t="s">
        <v>3</v>
      </c>
      <c r="H74" s="51" t="s">
        <v>17</v>
      </c>
    </row>
    <row r="75" spans="1:8" x14ac:dyDescent="0.15">
      <c r="A75" s="2">
        <f t="shared" si="12"/>
        <v>74</v>
      </c>
      <c r="B75" s="8"/>
      <c r="C75" s="61"/>
      <c r="D75" s="30"/>
      <c r="E75" s="3"/>
      <c r="F75" s="15" t="str">
        <f t="shared" si="13"/>
        <v>====&gt;&gt;</v>
      </c>
      <c r="G75" s="7" t="s">
        <v>3</v>
      </c>
      <c r="H75" s="51" t="s">
        <v>17</v>
      </c>
    </row>
    <row r="76" spans="1:8" x14ac:dyDescent="0.15">
      <c r="A76" s="2">
        <f t="shared" si="12"/>
        <v>75</v>
      </c>
      <c r="B76" s="8"/>
      <c r="C76" s="61"/>
      <c r="D76" s="30"/>
      <c r="E76" s="3"/>
      <c r="F76" s="15" t="str">
        <f t="shared" si="13"/>
        <v>====&gt;&gt;</v>
      </c>
      <c r="G76" s="7" t="s">
        <v>3</v>
      </c>
      <c r="H76" s="51" t="s">
        <v>17</v>
      </c>
    </row>
    <row r="77" spans="1:8" x14ac:dyDescent="0.15">
      <c r="A77" s="2">
        <f t="shared" si="12"/>
        <v>76</v>
      </c>
      <c r="B77" s="8"/>
      <c r="C77" s="61"/>
      <c r="D77" s="30"/>
      <c r="E77" s="3"/>
      <c r="F77" s="15" t="str">
        <f t="shared" si="13"/>
        <v>====&gt;&gt;</v>
      </c>
      <c r="G77" s="7" t="s">
        <v>3</v>
      </c>
      <c r="H77" s="51" t="s">
        <v>17</v>
      </c>
    </row>
    <row r="78" spans="1:8" x14ac:dyDescent="0.15">
      <c r="A78" s="2">
        <f t="shared" si="12"/>
        <v>77</v>
      </c>
      <c r="B78" s="8"/>
      <c r="C78" s="61"/>
      <c r="D78" s="30"/>
      <c r="E78" s="3"/>
      <c r="F78" s="15" t="str">
        <f t="shared" si="13"/>
        <v>====&gt;&gt;</v>
      </c>
      <c r="G78" s="7" t="s">
        <v>3</v>
      </c>
      <c r="H78" s="51" t="s">
        <v>17</v>
      </c>
    </row>
    <row r="79" spans="1:8" x14ac:dyDescent="0.15">
      <c r="A79" s="2">
        <f t="shared" si="12"/>
        <v>78</v>
      </c>
      <c r="B79" s="8"/>
      <c r="C79" s="61"/>
      <c r="D79" s="30"/>
      <c r="E79" s="3"/>
      <c r="F79" s="15" t="str">
        <f t="shared" si="13"/>
        <v>====&gt;&gt;</v>
      </c>
      <c r="G79" s="7" t="s">
        <v>3</v>
      </c>
      <c r="H79" s="51" t="s">
        <v>17</v>
      </c>
    </row>
    <row r="80" spans="1:8" x14ac:dyDescent="0.15">
      <c r="A80" s="2">
        <f t="shared" si="12"/>
        <v>79</v>
      </c>
      <c r="B80" s="8"/>
      <c r="C80" s="61"/>
      <c r="D80" s="30"/>
      <c r="E80" s="3"/>
      <c r="F80" s="15" t="str">
        <f t="shared" si="13"/>
        <v>====&gt;&gt;</v>
      </c>
      <c r="G80" s="7" t="s">
        <v>3</v>
      </c>
      <c r="H80" s="51" t="s">
        <v>17</v>
      </c>
    </row>
    <row r="81" spans="1:8" x14ac:dyDescent="0.15">
      <c r="A81" s="2">
        <f t="shared" si="12"/>
        <v>80</v>
      </c>
      <c r="B81" s="8"/>
      <c r="C81" s="61"/>
      <c r="D81" s="30"/>
      <c r="E81" s="3"/>
      <c r="F81" s="15" t="str">
        <f t="shared" si="13"/>
        <v>====&gt;&gt;</v>
      </c>
      <c r="G81" s="7" t="s">
        <v>3</v>
      </c>
      <c r="H81" s="51" t="s">
        <v>17</v>
      </c>
    </row>
    <row r="82" spans="1:8" x14ac:dyDescent="0.15">
      <c r="A82" s="2">
        <f t="shared" si="12"/>
        <v>81</v>
      </c>
      <c r="B82" s="8"/>
      <c r="C82" s="61"/>
      <c r="D82" s="30"/>
      <c r="E82" s="3"/>
      <c r="F82" s="15" t="str">
        <f t="shared" si="13"/>
        <v>====&gt;&gt;</v>
      </c>
      <c r="G82" s="7" t="s">
        <v>3</v>
      </c>
      <c r="H82" s="51" t="s">
        <v>17</v>
      </c>
    </row>
    <row r="83" spans="1:8" x14ac:dyDescent="0.15">
      <c r="A83" s="2">
        <f t="shared" si="12"/>
        <v>82</v>
      </c>
      <c r="B83" s="8"/>
      <c r="C83" s="61"/>
      <c r="D83" s="30"/>
      <c r="E83" s="3"/>
      <c r="F83" s="15" t="str">
        <f t="shared" si="13"/>
        <v>====&gt;&gt;</v>
      </c>
      <c r="G83" s="7" t="s">
        <v>3</v>
      </c>
      <c r="H83" s="51" t="s">
        <v>17</v>
      </c>
    </row>
    <row r="84" spans="1:8" x14ac:dyDescent="0.15">
      <c r="A84" s="2">
        <f t="shared" si="12"/>
        <v>83</v>
      </c>
      <c r="B84" s="8"/>
      <c r="C84" s="61"/>
      <c r="D84" s="30"/>
      <c r="E84" s="3"/>
      <c r="F84" s="15" t="str">
        <f t="shared" si="13"/>
        <v>====&gt;&gt;</v>
      </c>
      <c r="G84" s="7" t="s">
        <v>3</v>
      </c>
      <c r="H84" s="51" t="s">
        <v>17</v>
      </c>
    </row>
    <row r="85" spans="1:8" x14ac:dyDescent="0.15">
      <c r="A85" s="2">
        <f t="shared" si="12"/>
        <v>84</v>
      </c>
      <c r="B85" s="8"/>
      <c r="C85" s="61"/>
      <c r="D85" s="30"/>
      <c r="E85" s="3"/>
      <c r="F85" s="15" t="str">
        <f t="shared" si="13"/>
        <v>====&gt;&gt;</v>
      </c>
      <c r="G85" s="7" t="s">
        <v>3</v>
      </c>
      <c r="H85" s="51" t="s">
        <v>17</v>
      </c>
    </row>
    <row r="86" spans="1:8" x14ac:dyDescent="0.15">
      <c r="A86" s="2">
        <f t="shared" si="12"/>
        <v>85</v>
      </c>
      <c r="B86" s="8"/>
      <c r="C86" s="61"/>
      <c r="D86" s="30"/>
      <c r="E86" s="3"/>
      <c r="F86" s="15" t="str">
        <f t="shared" si="13"/>
        <v>====&gt;&gt;</v>
      </c>
      <c r="G86" s="7" t="s">
        <v>3</v>
      </c>
      <c r="H86" s="51" t="s">
        <v>17</v>
      </c>
    </row>
    <row r="87" spans="1:8" x14ac:dyDescent="0.15">
      <c r="A87" s="2">
        <f t="shared" si="12"/>
        <v>86</v>
      </c>
      <c r="B87" s="8"/>
      <c r="C87" s="61"/>
      <c r="D87" s="30"/>
      <c r="E87" s="3"/>
      <c r="F87" s="15" t="str">
        <f t="shared" si="13"/>
        <v>====&gt;&gt;</v>
      </c>
      <c r="G87" s="7" t="s">
        <v>3</v>
      </c>
      <c r="H87" s="51" t="s">
        <v>17</v>
      </c>
    </row>
    <row r="88" spans="1:8" x14ac:dyDescent="0.15">
      <c r="A88" s="2">
        <f t="shared" si="12"/>
        <v>87</v>
      </c>
      <c r="B88" s="8"/>
      <c r="C88" s="61"/>
      <c r="D88" s="30"/>
      <c r="E88" s="3"/>
      <c r="F88" s="15" t="str">
        <f t="shared" si="13"/>
        <v>====&gt;&gt;</v>
      </c>
      <c r="G88" s="7" t="s">
        <v>3</v>
      </c>
      <c r="H88" s="51" t="s">
        <v>17</v>
      </c>
    </row>
    <row r="89" spans="1:8" x14ac:dyDescent="0.15">
      <c r="A89" s="2">
        <f t="shared" si="12"/>
        <v>88</v>
      </c>
      <c r="B89" s="8"/>
      <c r="C89" s="61"/>
      <c r="D89" s="30"/>
      <c r="E89" s="3"/>
      <c r="F89" s="15" t="str">
        <f t="shared" si="13"/>
        <v>====&gt;&gt;</v>
      </c>
      <c r="G89" s="7" t="s">
        <v>3</v>
      </c>
      <c r="H89" s="51" t="s">
        <v>17</v>
      </c>
    </row>
    <row r="90" spans="1:8" x14ac:dyDescent="0.15">
      <c r="A90" s="2">
        <f t="shared" si="12"/>
        <v>89</v>
      </c>
      <c r="B90" s="8"/>
      <c r="C90" s="61"/>
      <c r="D90" s="30"/>
      <c r="E90" s="3"/>
      <c r="F90" s="15" t="str">
        <f t="shared" si="13"/>
        <v>====&gt;&gt;</v>
      </c>
      <c r="G90" s="7" t="s">
        <v>3</v>
      </c>
      <c r="H90" s="51" t="s">
        <v>17</v>
      </c>
    </row>
    <row r="91" spans="1:8" x14ac:dyDescent="0.15">
      <c r="A91" s="2">
        <f t="shared" si="12"/>
        <v>90</v>
      </c>
      <c r="B91" s="8"/>
      <c r="C91" s="61"/>
      <c r="D91" s="30"/>
      <c r="E91" s="3"/>
      <c r="F91" s="15" t="str">
        <f t="shared" si="13"/>
        <v>====&gt;&gt;</v>
      </c>
      <c r="G91" s="7" t="s">
        <v>3</v>
      </c>
      <c r="H91" s="51" t="s">
        <v>17</v>
      </c>
    </row>
    <row r="92" spans="1:8" x14ac:dyDescent="0.15">
      <c r="A92" s="2">
        <f t="shared" si="12"/>
        <v>91</v>
      </c>
      <c r="B92" s="8"/>
      <c r="C92" s="61"/>
      <c r="D92" s="30"/>
      <c r="E92" s="3"/>
      <c r="F92" s="15" t="str">
        <f t="shared" si="13"/>
        <v>====&gt;&gt;</v>
      </c>
      <c r="G92" s="7" t="s">
        <v>3</v>
      </c>
      <c r="H92" s="51" t="s">
        <v>17</v>
      </c>
    </row>
    <row r="93" spans="1:8" x14ac:dyDescent="0.15">
      <c r="A93" s="2">
        <f t="shared" si="12"/>
        <v>92</v>
      </c>
      <c r="B93" s="8"/>
      <c r="C93" s="61"/>
      <c r="D93" s="30"/>
      <c r="E93" s="3"/>
      <c r="F93" s="15" t="str">
        <f t="shared" si="13"/>
        <v>====&gt;&gt;</v>
      </c>
      <c r="G93" s="7" t="s">
        <v>3</v>
      </c>
      <c r="H93" s="51" t="s">
        <v>17</v>
      </c>
    </row>
    <row r="94" spans="1:8" x14ac:dyDescent="0.15">
      <c r="A94" s="2">
        <f t="shared" si="12"/>
        <v>93</v>
      </c>
      <c r="B94" s="8"/>
      <c r="C94" s="61"/>
      <c r="D94" s="30"/>
      <c r="E94" s="3"/>
      <c r="F94" s="15" t="str">
        <f t="shared" si="13"/>
        <v>====&gt;&gt;</v>
      </c>
      <c r="G94" s="7" t="s">
        <v>3</v>
      </c>
      <c r="H94" s="51" t="s">
        <v>17</v>
      </c>
    </row>
    <row r="95" spans="1:8" x14ac:dyDescent="0.15">
      <c r="A95" s="2">
        <f t="shared" si="12"/>
        <v>94</v>
      </c>
      <c r="B95" s="8"/>
      <c r="C95" s="61"/>
      <c r="D95" s="30"/>
      <c r="E95" s="3"/>
      <c r="F95" s="15" t="str">
        <f t="shared" si="13"/>
        <v>====&gt;&gt;</v>
      </c>
      <c r="G95" s="7" t="s">
        <v>3</v>
      </c>
      <c r="H95" s="51" t="s">
        <v>17</v>
      </c>
    </row>
    <row r="96" spans="1:8" x14ac:dyDescent="0.15">
      <c r="A96" s="2">
        <f t="shared" si="12"/>
        <v>95</v>
      </c>
      <c r="B96" s="8"/>
      <c r="C96" s="61"/>
      <c r="D96" s="30"/>
      <c r="E96" s="3"/>
      <c r="F96" s="15" t="str">
        <f t="shared" si="13"/>
        <v>====&gt;&gt;</v>
      </c>
      <c r="G96" s="7" t="s">
        <v>3</v>
      </c>
      <c r="H96" s="51" t="s">
        <v>17</v>
      </c>
    </row>
    <row r="97" spans="1:8" x14ac:dyDescent="0.15">
      <c r="A97" s="2">
        <f t="shared" si="12"/>
        <v>96</v>
      </c>
      <c r="B97" s="8"/>
      <c r="C97" s="61"/>
      <c r="D97" s="30"/>
      <c r="E97" s="3"/>
      <c r="F97" s="15" t="str">
        <f t="shared" si="13"/>
        <v>====&gt;&gt;</v>
      </c>
      <c r="G97" s="7" t="s">
        <v>3</v>
      </c>
      <c r="H97" s="51" t="s">
        <v>17</v>
      </c>
    </row>
    <row r="98" spans="1:8" x14ac:dyDescent="0.15">
      <c r="A98" s="2">
        <f t="shared" si="12"/>
        <v>97</v>
      </c>
      <c r="B98" s="8"/>
      <c r="C98" s="61"/>
      <c r="D98" s="30"/>
      <c r="E98" s="3"/>
      <c r="F98" s="15" t="str">
        <f t="shared" si="13"/>
        <v>====&gt;&gt;</v>
      </c>
      <c r="G98" s="7" t="s">
        <v>3</v>
      </c>
      <c r="H98" s="51" t="s">
        <v>17</v>
      </c>
    </row>
    <row r="99" spans="1:8" x14ac:dyDescent="0.15">
      <c r="A99" s="2">
        <f t="shared" si="12"/>
        <v>98</v>
      </c>
      <c r="B99" s="8"/>
      <c r="C99" s="61"/>
      <c r="D99" s="30"/>
      <c r="E99" s="3"/>
      <c r="F99" s="15" t="str">
        <f t="shared" si="13"/>
        <v>====&gt;&gt;</v>
      </c>
      <c r="G99" s="7" t="s">
        <v>3</v>
      </c>
      <c r="H99" s="51" t="s">
        <v>17</v>
      </c>
    </row>
    <row r="100" spans="1:8" x14ac:dyDescent="0.15">
      <c r="A100" s="2">
        <f t="shared" si="12"/>
        <v>99</v>
      </c>
      <c r="B100" s="8"/>
      <c r="C100" s="61"/>
      <c r="D100" s="30"/>
      <c r="E100" s="3"/>
      <c r="F100" s="15" t="str">
        <f t="shared" si="13"/>
        <v>====&gt;&gt;</v>
      </c>
      <c r="G100" s="7" t="s">
        <v>3</v>
      </c>
      <c r="H100" s="51" t="s">
        <v>17</v>
      </c>
    </row>
    <row r="101" spans="1:8" x14ac:dyDescent="0.15">
      <c r="A101" s="2">
        <f t="shared" si="12"/>
        <v>100</v>
      </c>
      <c r="B101" s="8"/>
      <c r="C101" s="61"/>
      <c r="D101" s="30"/>
      <c r="E101" s="3"/>
      <c r="F101" s="15" t="str">
        <f t="shared" ref="F101:F132" si="14">HYPERLINK("#'"&amp;D101&amp;"'!A1","====&gt;&gt;")</f>
        <v>====&gt;&gt;</v>
      </c>
      <c r="G101" s="7" t="s">
        <v>3</v>
      </c>
      <c r="H101" s="51" t="s">
        <v>17</v>
      </c>
    </row>
    <row r="102" spans="1:8" x14ac:dyDescent="0.15">
      <c r="A102" s="2">
        <f t="shared" si="12"/>
        <v>101</v>
      </c>
      <c r="B102" s="8"/>
      <c r="C102" s="61"/>
      <c r="D102" s="30"/>
      <c r="E102" s="3"/>
      <c r="F102" s="15" t="str">
        <f t="shared" si="14"/>
        <v>====&gt;&gt;</v>
      </c>
      <c r="G102" s="7" t="s">
        <v>3</v>
      </c>
      <c r="H102" s="51" t="s">
        <v>17</v>
      </c>
    </row>
    <row r="103" spans="1:8" x14ac:dyDescent="0.15">
      <c r="A103" s="2">
        <f t="shared" si="12"/>
        <v>102</v>
      </c>
      <c r="B103" s="8"/>
      <c r="C103" s="61"/>
      <c r="D103" s="30"/>
      <c r="E103" s="3"/>
      <c r="F103" s="15" t="str">
        <f t="shared" si="14"/>
        <v>====&gt;&gt;</v>
      </c>
      <c r="G103" s="7" t="s">
        <v>3</v>
      </c>
      <c r="H103" s="51" t="s">
        <v>17</v>
      </c>
    </row>
    <row r="104" spans="1:8" x14ac:dyDescent="0.15">
      <c r="A104" s="2">
        <f t="shared" si="12"/>
        <v>103</v>
      </c>
      <c r="B104" s="8"/>
      <c r="C104" s="61"/>
      <c r="D104" s="30"/>
      <c r="E104" s="3"/>
      <c r="F104" s="15" t="str">
        <f t="shared" si="14"/>
        <v>====&gt;&gt;</v>
      </c>
      <c r="G104" s="7" t="s">
        <v>3</v>
      </c>
      <c r="H104" s="51" t="s">
        <v>17</v>
      </c>
    </row>
    <row r="105" spans="1:8" x14ac:dyDescent="0.15">
      <c r="A105" s="2">
        <f t="shared" si="12"/>
        <v>104</v>
      </c>
      <c r="B105" s="8"/>
      <c r="C105" s="61"/>
      <c r="D105" s="30"/>
      <c r="E105" s="3"/>
      <c r="F105" s="15" t="str">
        <f t="shared" si="14"/>
        <v>====&gt;&gt;</v>
      </c>
      <c r="G105" s="7" t="s">
        <v>3</v>
      </c>
      <c r="H105" s="51" t="s">
        <v>17</v>
      </c>
    </row>
    <row r="106" spans="1:8" x14ac:dyDescent="0.15">
      <c r="A106" s="2">
        <f t="shared" si="12"/>
        <v>105</v>
      </c>
      <c r="B106" s="8"/>
      <c r="C106" s="61"/>
      <c r="D106" s="30"/>
      <c r="E106" s="3"/>
      <c r="F106" s="15" t="str">
        <f t="shared" si="14"/>
        <v>====&gt;&gt;</v>
      </c>
      <c r="G106" s="7" t="s">
        <v>3</v>
      </c>
      <c r="H106" s="51" t="s">
        <v>17</v>
      </c>
    </row>
    <row r="107" spans="1:8" x14ac:dyDescent="0.15">
      <c r="A107" s="2">
        <f t="shared" si="12"/>
        <v>106</v>
      </c>
      <c r="B107" s="8"/>
      <c r="C107" s="61"/>
      <c r="D107" s="30"/>
      <c r="E107" s="3"/>
      <c r="F107" s="15" t="str">
        <f t="shared" si="14"/>
        <v>====&gt;&gt;</v>
      </c>
      <c r="G107" s="7" t="s">
        <v>3</v>
      </c>
      <c r="H107" s="51" t="s">
        <v>17</v>
      </c>
    </row>
    <row r="108" spans="1:8" x14ac:dyDescent="0.15">
      <c r="A108" s="2">
        <f t="shared" si="12"/>
        <v>107</v>
      </c>
      <c r="B108" s="8"/>
      <c r="C108" s="61"/>
      <c r="D108" s="30"/>
      <c r="E108" s="3"/>
      <c r="F108" s="15" t="str">
        <f t="shared" si="14"/>
        <v>====&gt;&gt;</v>
      </c>
      <c r="G108" s="7" t="s">
        <v>3</v>
      </c>
      <c r="H108" s="51" t="s">
        <v>17</v>
      </c>
    </row>
    <row r="109" spans="1:8" x14ac:dyDescent="0.15">
      <c r="A109" s="2">
        <f t="shared" si="12"/>
        <v>108</v>
      </c>
      <c r="B109" s="8"/>
      <c r="C109" s="61"/>
      <c r="D109" s="30"/>
      <c r="E109" s="3"/>
      <c r="F109" s="15" t="str">
        <f t="shared" si="14"/>
        <v>====&gt;&gt;</v>
      </c>
      <c r="G109" s="7" t="s">
        <v>3</v>
      </c>
      <c r="H109" s="51" t="s">
        <v>17</v>
      </c>
    </row>
    <row r="110" spans="1:8" x14ac:dyDescent="0.15">
      <c r="A110" s="2">
        <f t="shared" si="12"/>
        <v>109</v>
      </c>
      <c r="B110" s="8"/>
      <c r="C110" s="61"/>
      <c r="D110" s="30"/>
      <c r="E110" s="3"/>
      <c r="F110" s="15" t="str">
        <f t="shared" si="14"/>
        <v>====&gt;&gt;</v>
      </c>
      <c r="G110" s="7" t="s">
        <v>3</v>
      </c>
      <c r="H110" s="51" t="s">
        <v>17</v>
      </c>
    </row>
    <row r="111" spans="1:8" x14ac:dyDescent="0.15">
      <c r="A111" s="2">
        <f t="shared" si="12"/>
        <v>110</v>
      </c>
      <c r="B111" s="8"/>
      <c r="C111" s="61"/>
      <c r="D111" s="30"/>
      <c r="E111" s="3"/>
      <c r="F111" s="15" t="str">
        <f t="shared" si="14"/>
        <v>====&gt;&gt;</v>
      </c>
      <c r="G111" s="7" t="s">
        <v>3</v>
      </c>
      <c r="H111" s="51" t="s">
        <v>17</v>
      </c>
    </row>
    <row r="112" spans="1:8" x14ac:dyDescent="0.15">
      <c r="A112" s="2">
        <f t="shared" si="12"/>
        <v>111</v>
      </c>
      <c r="B112" s="8"/>
      <c r="C112" s="61"/>
      <c r="D112" s="30"/>
      <c r="E112" s="3"/>
      <c r="F112" s="15" t="str">
        <f t="shared" si="14"/>
        <v>====&gt;&gt;</v>
      </c>
      <c r="G112" s="7" t="s">
        <v>3</v>
      </c>
      <c r="H112" s="51" t="s">
        <v>17</v>
      </c>
    </row>
    <row r="113" spans="1:8" x14ac:dyDescent="0.15">
      <c r="A113" s="2">
        <f t="shared" si="12"/>
        <v>112</v>
      </c>
      <c r="B113" s="8"/>
      <c r="C113" s="61"/>
      <c r="D113" s="30"/>
      <c r="E113" s="3"/>
      <c r="F113" s="15" t="str">
        <f t="shared" si="14"/>
        <v>====&gt;&gt;</v>
      </c>
      <c r="G113" s="7" t="s">
        <v>3</v>
      </c>
      <c r="H113" s="51" t="s">
        <v>17</v>
      </c>
    </row>
    <row r="114" spans="1:8" x14ac:dyDescent="0.15">
      <c r="A114" s="2">
        <f t="shared" si="12"/>
        <v>113</v>
      </c>
      <c r="B114" s="8"/>
      <c r="C114" s="61"/>
      <c r="D114" s="30"/>
      <c r="E114" s="3"/>
      <c r="F114" s="15" t="str">
        <f t="shared" si="14"/>
        <v>====&gt;&gt;</v>
      </c>
      <c r="G114" s="7" t="s">
        <v>3</v>
      </c>
      <c r="H114" s="51" t="s">
        <v>17</v>
      </c>
    </row>
    <row r="115" spans="1:8" x14ac:dyDescent="0.15">
      <c r="A115" s="2">
        <f t="shared" si="12"/>
        <v>114</v>
      </c>
      <c r="B115" s="8"/>
      <c r="C115" s="61"/>
      <c r="D115" s="30"/>
      <c r="E115" s="3"/>
      <c r="F115" s="15" t="str">
        <f t="shared" si="14"/>
        <v>====&gt;&gt;</v>
      </c>
      <c r="G115" s="7" t="s">
        <v>3</v>
      </c>
      <c r="H115" s="51" t="s">
        <v>17</v>
      </c>
    </row>
    <row r="116" spans="1:8" x14ac:dyDescent="0.15">
      <c r="A116" s="2">
        <f t="shared" si="12"/>
        <v>115</v>
      </c>
      <c r="B116" s="8"/>
      <c r="C116" s="61"/>
      <c r="D116" s="30"/>
      <c r="E116" s="3"/>
      <c r="F116" s="15" t="str">
        <f t="shared" si="14"/>
        <v>====&gt;&gt;</v>
      </c>
      <c r="G116" s="7" t="s">
        <v>3</v>
      </c>
      <c r="H116" s="51" t="s">
        <v>17</v>
      </c>
    </row>
    <row r="117" spans="1:8" x14ac:dyDescent="0.15">
      <c r="A117" s="2">
        <f t="shared" si="12"/>
        <v>116</v>
      </c>
      <c r="B117" s="8"/>
      <c r="C117" s="61"/>
      <c r="D117" s="30"/>
      <c r="E117" s="3"/>
      <c r="F117" s="15" t="str">
        <f t="shared" si="14"/>
        <v>====&gt;&gt;</v>
      </c>
      <c r="G117" s="7" t="s">
        <v>3</v>
      </c>
      <c r="H117" s="51" t="s">
        <v>17</v>
      </c>
    </row>
    <row r="118" spans="1:8" x14ac:dyDescent="0.15">
      <c r="A118" s="2">
        <f t="shared" si="12"/>
        <v>117</v>
      </c>
      <c r="B118" s="8"/>
      <c r="C118" s="61"/>
      <c r="D118" s="30"/>
      <c r="E118" s="3"/>
      <c r="F118" s="15" t="str">
        <f t="shared" si="14"/>
        <v>====&gt;&gt;</v>
      </c>
      <c r="G118" s="7" t="s">
        <v>3</v>
      </c>
      <c r="H118" s="51" t="s">
        <v>17</v>
      </c>
    </row>
    <row r="119" spans="1:8" x14ac:dyDescent="0.15">
      <c r="A119" s="2">
        <f t="shared" si="12"/>
        <v>118</v>
      </c>
      <c r="B119" s="8"/>
      <c r="C119" s="61"/>
      <c r="D119" s="30"/>
      <c r="E119" s="3"/>
      <c r="F119" s="15" t="str">
        <f t="shared" si="14"/>
        <v>====&gt;&gt;</v>
      </c>
      <c r="G119" s="7" t="s">
        <v>3</v>
      </c>
      <c r="H119" s="51" t="s">
        <v>17</v>
      </c>
    </row>
    <row r="120" spans="1:8" x14ac:dyDescent="0.15">
      <c r="A120" s="2">
        <f t="shared" si="12"/>
        <v>119</v>
      </c>
      <c r="B120" s="8"/>
      <c r="C120" s="61"/>
      <c r="D120" s="30"/>
      <c r="E120" s="3"/>
      <c r="F120" s="15" t="str">
        <f t="shared" si="14"/>
        <v>====&gt;&gt;</v>
      </c>
      <c r="G120" s="7" t="s">
        <v>3</v>
      </c>
      <c r="H120" s="51" t="s">
        <v>17</v>
      </c>
    </row>
    <row r="121" spans="1:8" x14ac:dyDescent="0.15">
      <c r="A121" s="2">
        <f t="shared" si="12"/>
        <v>120</v>
      </c>
      <c r="B121" s="8"/>
      <c r="C121" s="61"/>
      <c r="D121" s="30"/>
      <c r="E121" s="3"/>
      <c r="F121" s="15" t="str">
        <f t="shared" si="14"/>
        <v>====&gt;&gt;</v>
      </c>
      <c r="G121" s="7" t="s">
        <v>3</v>
      </c>
      <c r="H121" s="51" t="s">
        <v>17</v>
      </c>
    </row>
    <row r="122" spans="1:8" x14ac:dyDescent="0.15">
      <c r="A122" s="2">
        <f t="shared" si="12"/>
        <v>121</v>
      </c>
      <c r="B122" s="8"/>
      <c r="C122" s="61"/>
      <c r="D122" s="30"/>
      <c r="E122" s="3"/>
      <c r="F122" s="15" t="str">
        <f t="shared" si="14"/>
        <v>====&gt;&gt;</v>
      </c>
      <c r="G122" s="7" t="s">
        <v>3</v>
      </c>
      <c r="H122" s="51" t="s">
        <v>17</v>
      </c>
    </row>
    <row r="123" spans="1:8" x14ac:dyDescent="0.15">
      <c r="A123" s="2">
        <f t="shared" si="12"/>
        <v>122</v>
      </c>
      <c r="B123" s="8"/>
      <c r="C123" s="61"/>
      <c r="D123" s="30"/>
      <c r="E123" s="3"/>
      <c r="F123" s="15" t="str">
        <f t="shared" si="14"/>
        <v>====&gt;&gt;</v>
      </c>
      <c r="G123" s="7" t="s">
        <v>3</v>
      </c>
      <c r="H123" s="51" t="s">
        <v>17</v>
      </c>
    </row>
    <row r="124" spans="1:8" x14ac:dyDescent="0.15">
      <c r="A124" s="2">
        <f t="shared" si="12"/>
        <v>123</v>
      </c>
      <c r="B124" s="8"/>
      <c r="C124" s="61"/>
      <c r="D124" s="30"/>
      <c r="E124" s="3"/>
      <c r="F124" s="15" t="str">
        <f t="shared" si="14"/>
        <v>====&gt;&gt;</v>
      </c>
      <c r="G124" s="7" t="s">
        <v>3</v>
      </c>
      <c r="H124" s="51" t="s">
        <v>17</v>
      </c>
    </row>
    <row r="125" spans="1:8" x14ac:dyDescent="0.15">
      <c r="A125" s="2">
        <f t="shared" si="12"/>
        <v>124</v>
      </c>
      <c r="B125" s="8"/>
      <c r="C125" s="61"/>
      <c r="D125" s="30"/>
      <c r="E125" s="3"/>
      <c r="F125" s="15" t="str">
        <f t="shared" si="14"/>
        <v>====&gt;&gt;</v>
      </c>
      <c r="G125" s="7" t="s">
        <v>3</v>
      </c>
      <c r="H125" s="51" t="s">
        <v>17</v>
      </c>
    </row>
    <row r="126" spans="1:8" x14ac:dyDescent="0.15">
      <c r="A126" s="2">
        <f t="shared" si="12"/>
        <v>125</v>
      </c>
      <c r="B126" s="8"/>
      <c r="C126" s="61"/>
      <c r="D126" s="30"/>
      <c r="E126" s="3"/>
      <c r="F126" s="15" t="str">
        <f t="shared" si="14"/>
        <v>====&gt;&gt;</v>
      </c>
      <c r="G126" s="7" t="s">
        <v>3</v>
      </c>
      <c r="H126" s="51" t="s">
        <v>17</v>
      </c>
    </row>
    <row r="127" spans="1:8" x14ac:dyDescent="0.15">
      <c r="A127" s="2">
        <f t="shared" si="12"/>
        <v>126</v>
      </c>
      <c r="B127" s="8"/>
      <c r="C127" s="61"/>
      <c r="D127" s="30"/>
      <c r="E127" s="3"/>
      <c r="F127" s="15" t="str">
        <f t="shared" si="14"/>
        <v>====&gt;&gt;</v>
      </c>
      <c r="G127" s="7" t="s">
        <v>3</v>
      </c>
      <c r="H127" s="51" t="s">
        <v>17</v>
      </c>
    </row>
    <row r="128" spans="1:8" x14ac:dyDescent="0.15">
      <c r="A128" s="2">
        <f t="shared" si="12"/>
        <v>127</v>
      </c>
      <c r="B128" s="8"/>
      <c r="C128" s="61"/>
      <c r="D128" s="30"/>
      <c r="E128" s="3"/>
      <c r="F128" s="15" t="str">
        <f t="shared" si="14"/>
        <v>====&gt;&gt;</v>
      </c>
      <c r="G128" s="7" t="s">
        <v>3</v>
      </c>
      <c r="H128" s="51" t="s">
        <v>17</v>
      </c>
    </row>
    <row r="129" spans="1:8" x14ac:dyDescent="0.15">
      <c r="A129" s="2">
        <f t="shared" si="12"/>
        <v>128</v>
      </c>
      <c r="B129" s="8"/>
      <c r="C129" s="61"/>
      <c r="D129" s="30"/>
      <c r="E129" s="3"/>
      <c r="F129" s="15" t="str">
        <f t="shared" si="14"/>
        <v>====&gt;&gt;</v>
      </c>
      <c r="G129" s="7" t="s">
        <v>3</v>
      </c>
      <c r="H129" s="51" t="s">
        <v>17</v>
      </c>
    </row>
    <row r="130" spans="1:8" x14ac:dyDescent="0.15">
      <c r="A130" s="2">
        <f t="shared" si="12"/>
        <v>129</v>
      </c>
      <c r="B130" s="8"/>
      <c r="C130" s="61"/>
      <c r="D130" s="30"/>
      <c r="E130" s="3"/>
      <c r="F130" s="15" t="str">
        <f t="shared" si="14"/>
        <v>====&gt;&gt;</v>
      </c>
      <c r="G130" s="7" t="s">
        <v>3</v>
      </c>
      <c r="H130" s="51" t="s">
        <v>17</v>
      </c>
    </row>
    <row r="131" spans="1:8" x14ac:dyDescent="0.15">
      <c r="A131" s="2">
        <f t="shared" ref="A131:A151" si="15">ROW()-ROW(A$1)</f>
        <v>130</v>
      </c>
      <c r="B131" s="8"/>
      <c r="C131" s="61"/>
      <c r="D131" s="30"/>
      <c r="E131" s="3"/>
      <c r="F131" s="15" t="str">
        <f t="shared" si="14"/>
        <v>====&gt;&gt;</v>
      </c>
      <c r="G131" s="7" t="s">
        <v>3</v>
      </c>
      <c r="H131" s="51" t="s">
        <v>17</v>
      </c>
    </row>
    <row r="132" spans="1:8" x14ac:dyDescent="0.15">
      <c r="A132" s="2">
        <f t="shared" si="15"/>
        <v>131</v>
      </c>
      <c r="B132" s="8"/>
      <c r="C132" s="61"/>
      <c r="D132" s="30"/>
      <c r="E132" s="3"/>
      <c r="F132" s="15" t="str">
        <f t="shared" si="14"/>
        <v>====&gt;&gt;</v>
      </c>
      <c r="G132" s="7" t="s">
        <v>3</v>
      </c>
      <c r="H132" s="51" t="s">
        <v>17</v>
      </c>
    </row>
    <row r="133" spans="1:8" x14ac:dyDescent="0.15">
      <c r="A133" s="2">
        <f t="shared" si="15"/>
        <v>132</v>
      </c>
      <c r="B133" s="8"/>
      <c r="C133" s="61"/>
      <c r="D133" s="30"/>
      <c r="E133" s="3"/>
      <c r="F133" s="15" t="str">
        <f t="shared" ref="F133:F151" si="16">HYPERLINK("#'"&amp;D133&amp;"'!A1","====&gt;&gt;")</f>
        <v>====&gt;&gt;</v>
      </c>
      <c r="G133" s="7" t="s">
        <v>3</v>
      </c>
      <c r="H133" s="51" t="s">
        <v>17</v>
      </c>
    </row>
    <row r="134" spans="1:8" x14ac:dyDescent="0.15">
      <c r="A134" s="2">
        <f t="shared" si="15"/>
        <v>133</v>
      </c>
      <c r="B134" s="8"/>
      <c r="C134" s="61"/>
      <c r="D134" s="30"/>
      <c r="E134" s="3"/>
      <c r="F134" s="15" t="str">
        <f t="shared" si="16"/>
        <v>====&gt;&gt;</v>
      </c>
      <c r="G134" s="7" t="s">
        <v>3</v>
      </c>
      <c r="H134" s="51" t="s">
        <v>17</v>
      </c>
    </row>
    <row r="135" spans="1:8" x14ac:dyDescent="0.15">
      <c r="A135" s="2">
        <f t="shared" si="15"/>
        <v>134</v>
      </c>
      <c r="B135" s="8"/>
      <c r="C135" s="61"/>
      <c r="D135" s="30"/>
      <c r="E135" s="3"/>
      <c r="F135" s="15" t="str">
        <f t="shared" si="16"/>
        <v>====&gt;&gt;</v>
      </c>
      <c r="G135" s="7" t="s">
        <v>3</v>
      </c>
      <c r="H135" s="51" t="s">
        <v>17</v>
      </c>
    </row>
    <row r="136" spans="1:8" x14ac:dyDescent="0.15">
      <c r="A136" s="2">
        <f t="shared" si="15"/>
        <v>135</v>
      </c>
      <c r="B136" s="8"/>
      <c r="C136" s="61"/>
      <c r="D136" s="30"/>
      <c r="E136" s="3"/>
      <c r="F136" s="15" t="str">
        <f t="shared" si="16"/>
        <v>====&gt;&gt;</v>
      </c>
      <c r="G136" s="7" t="s">
        <v>3</v>
      </c>
      <c r="H136" s="51" t="s">
        <v>17</v>
      </c>
    </row>
    <row r="137" spans="1:8" x14ac:dyDescent="0.15">
      <c r="A137" s="2">
        <f t="shared" si="15"/>
        <v>136</v>
      </c>
      <c r="B137" s="8"/>
      <c r="C137" s="61"/>
      <c r="D137" s="30"/>
      <c r="E137" s="3"/>
      <c r="F137" s="15" t="str">
        <f t="shared" si="16"/>
        <v>====&gt;&gt;</v>
      </c>
      <c r="G137" s="7" t="s">
        <v>3</v>
      </c>
      <c r="H137" s="51" t="s">
        <v>17</v>
      </c>
    </row>
    <row r="138" spans="1:8" x14ac:dyDescent="0.15">
      <c r="A138" s="2">
        <f t="shared" si="15"/>
        <v>137</v>
      </c>
      <c r="B138" s="8"/>
      <c r="C138" s="61"/>
      <c r="D138" s="30"/>
      <c r="E138" s="3"/>
      <c r="F138" s="15" t="str">
        <f t="shared" si="16"/>
        <v>====&gt;&gt;</v>
      </c>
      <c r="G138" s="7" t="s">
        <v>3</v>
      </c>
      <c r="H138" s="51" t="s">
        <v>17</v>
      </c>
    </row>
    <row r="139" spans="1:8" x14ac:dyDescent="0.15">
      <c r="A139" s="2">
        <f t="shared" si="15"/>
        <v>138</v>
      </c>
      <c r="B139" s="8"/>
      <c r="C139" s="61"/>
      <c r="D139" s="30"/>
      <c r="E139" s="3"/>
      <c r="F139" s="15" t="str">
        <f t="shared" si="16"/>
        <v>====&gt;&gt;</v>
      </c>
      <c r="G139" s="7" t="s">
        <v>3</v>
      </c>
      <c r="H139" s="51" t="s">
        <v>17</v>
      </c>
    </row>
    <row r="140" spans="1:8" x14ac:dyDescent="0.15">
      <c r="A140" s="2">
        <f t="shared" si="15"/>
        <v>139</v>
      </c>
      <c r="B140" s="8"/>
      <c r="C140" s="61"/>
      <c r="D140" s="30"/>
      <c r="E140" s="3"/>
      <c r="F140" s="15" t="str">
        <f t="shared" si="16"/>
        <v>====&gt;&gt;</v>
      </c>
      <c r="G140" s="7" t="s">
        <v>3</v>
      </c>
      <c r="H140" s="51" t="s">
        <v>17</v>
      </c>
    </row>
    <row r="141" spans="1:8" x14ac:dyDescent="0.15">
      <c r="A141" s="2">
        <f t="shared" si="15"/>
        <v>140</v>
      </c>
      <c r="B141" s="8"/>
      <c r="C141" s="61"/>
      <c r="D141" s="30"/>
      <c r="E141" s="3"/>
      <c r="F141" s="15" t="str">
        <f t="shared" si="16"/>
        <v>====&gt;&gt;</v>
      </c>
      <c r="G141" s="7" t="s">
        <v>3</v>
      </c>
      <c r="H141" s="51" t="s">
        <v>17</v>
      </c>
    </row>
    <row r="142" spans="1:8" x14ac:dyDescent="0.15">
      <c r="A142" s="2">
        <f t="shared" si="15"/>
        <v>141</v>
      </c>
      <c r="B142" s="8"/>
      <c r="C142" s="61"/>
      <c r="D142" s="30"/>
      <c r="E142" s="3"/>
      <c r="F142" s="15" t="str">
        <f t="shared" si="16"/>
        <v>====&gt;&gt;</v>
      </c>
      <c r="G142" s="7" t="s">
        <v>3</v>
      </c>
      <c r="H142" s="51" t="s">
        <v>17</v>
      </c>
    </row>
    <row r="143" spans="1:8" x14ac:dyDescent="0.15">
      <c r="A143" s="2">
        <f t="shared" si="15"/>
        <v>142</v>
      </c>
      <c r="B143" s="8"/>
      <c r="C143" s="61"/>
      <c r="D143" s="30"/>
      <c r="E143" s="3"/>
      <c r="F143" s="15" t="str">
        <f t="shared" si="16"/>
        <v>====&gt;&gt;</v>
      </c>
      <c r="G143" s="7" t="s">
        <v>3</v>
      </c>
      <c r="H143" s="51" t="s">
        <v>17</v>
      </c>
    </row>
    <row r="144" spans="1:8" x14ac:dyDescent="0.15">
      <c r="A144" s="2">
        <f t="shared" si="15"/>
        <v>143</v>
      </c>
      <c r="B144" s="8"/>
      <c r="C144" s="61"/>
      <c r="D144" s="30"/>
      <c r="E144" s="3"/>
      <c r="F144" s="15" t="str">
        <f t="shared" si="16"/>
        <v>====&gt;&gt;</v>
      </c>
      <c r="G144" s="7" t="s">
        <v>3</v>
      </c>
      <c r="H144" s="51" t="s">
        <v>17</v>
      </c>
    </row>
    <row r="145" spans="1:8" x14ac:dyDescent="0.15">
      <c r="A145" s="2">
        <f t="shared" si="15"/>
        <v>144</v>
      </c>
      <c r="B145" s="8"/>
      <c r="C145" s="61"/>
      <c r="D145" s="30"/>
      <c r="E145" s="3"/>
      <c r="F145" s="15" t="str">
        <f t="shared" si="16"/>
        <v>====&gt;&gt;</v>
      </c>
      <c r="G145" s="7" t="s">
        <v>3</v>
      </c>
      <c r="H145" s="51" t="s">
        <v>17</v>
      </c>
    </row>
    <row r="146" spans="1:8" x14ac:dyDescent="0.15">
      <c r="A146" s="2">
        <f t="shared" si="15"/>
        <v>145</v>
      </c>
      <c r="B146" s="8"/>
      <c r="C146" s="61"/>
      <c r="D146" s="30"/>
      <c r="E146" s="3"/>
      <c r="F146" s="15" t="str">
        <f t="shared" si="16"/>
        <v>====&gt;&gt;</v>
      </c>
      <c r="G146" s="7" t="s">
        <v>3</v>
      </c>
      <c r="H146" s="51" t="s">
        <v>17</v>
      </c>
    </row>
    <row r="147" spans="1:8" x14ac:dyDescent="0.15">
      <c r="A147" s="2">
        <f t="shared" si="15"/>
        <v>146</v>
      </c>
      <c r="B147" s="8"/>
      <c r="C147" s="61"/>
      <c r="D147" s="30"/>
      <c r="E147" s="3"/>
      <c r="F147" s="15" t="str">
        <f t="shared" si="16"/>
        <v>====&gt;&gt;</v>
      </c>
      <c r="G147" s="7" t="s">
        <v>3</v>
      </c>
      <c r="H147" s="51" t="s">
        <v>17</v>
      </c>
    </row>
    <row r="148" spans="1:8" x14ac:dyDescent="0.15">
      <c r="A148" s="2">
        <f t="shared" si="15"/>
        <v>147</v>
      </c>
      <c r="B148" s="8"/>
      <c r="C148" s="61"/>
      <c r="D148" s="30"/>
      <c r="E148" s="3"/>
      <c r="F148" s="15" t="str">
        <f t="shared" si="16"/>
        <v>====&gt;&gt;</v>
      </c>
      <c r="G148" s="7" t="s">
        <v>3</v>
      </c>
      <c r="H148" s="51" t="s">
        <v>17</v>
      </c>
    </row>
    <row r="149" spans="1:8" x14ac:dyDescent="0.15">
      <c r="A149" s="2">
        <f t="shared" si="15"/>
        <v>148</v>
      </c>
      <c r="B149" s="8"/>
      <c r="C149" s="61"/>
      <c r="D149" s="30"/>
      <c r="E149" s="3"/>
      <c r="F149" s="15" t="str">
        <f t="shared" si="16"/>
        <v>====&gt;&gt;</v>
      </c>
      <c r="G149" s="7" t="s">
        <v>3</v>
      </c>
      <c r="H149" s="51" t="s">
        <v>17</v>
      </c>
    </row>
    <row r="150" spans="1:8" x14ac:dyDescent="0.15">
      <c r="A150" s="2">
        <f t="shared" si="15"/>
        <v>149</v>
      </c>
      <c r="B150" s="8"/>
      <c r="C150" s="61"/>
      <c r="D150" s="30"/>
      <c r="E150" s="3"/>
      <c r="F150" s="15" t="str">
        <f t="shared" si="16"/>
        <v>====&gt;&gt;</v>
      </c>
      <c r="G150" s="7" t="s">
        <v>3</v>
      </c>
      <c r="H150" s="51" t="s">
        <v>17</v>
      </c>
    </row>
    <row r="151" spans="1:8" x14ac:dyDescent="0.15">
      <c r="A151" s="2">
        <f t="shared" si="15"/>
        <v>150</v>
      </c>
      <c r="B151" s="8"/>
      <c r="C151" s="61"/>
      <c r="D151" s="30"/>
      <c r="E151" s="3"/>
      <c r="F151" s="15" t="str">
        <f t="shared" si="16"/>
        <v>====&gt;&gt;</v>
      </c>
      <c r="G151" s="7" t="s">
        <v>3</v>
      </c>
      <c r="H151" s="51" t="s">
        <v>17</v>
      </c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J22"/>
  <sheetViews>
    <sheetView tabSelected="1" workbookViewId="0">
      <selection activeCell="E34" sqref="E34"/>
    </sheetView>
  </sheetViews>
  <sheetFormatPr defaultRowHeight="12" x14ac:dyDescent="0.15"/>
  <cols>
    <col min="1" max="1" width="6.25" style="28" customWidth="1"/>
    <col min="2" max="2" width="17.875" style="23" customWidth="1"/>
    <col min="3" max="3" width="15" style="23" bestFit="1" customWidth="1"/>
    <col min="4" max="4" width="12.375" style="23" customWidth="1"/>
    <col min="5" max="5" width="11.25" style="23" customWidth="1"/>
    <col min="6" max="6" width="11.75" style="23" customWidth="1"/>
    <col min="7" max="7" width="12.75" style="23" customWidth="1"/>
    <col min="8" max="9" width="14.875" style="23" customWidth="1"/>
    <col min="10" max="10" width="20.125" style="23" customWidth="1"/>
    <col min="11" max="16384" width="9" style="23"/>
  </cols>
  <sheetData>
    <row r="1" spans="1:10" x14ac:dyDescent="0.15">
      <c r="A1" s="21" t="str">
        <f>HYPERLINK(CONCATENATE("#'目录'!D",MATCH(B1,目录!D:D,0)),"返回")</f>
        <v>返回</v>
      </c>
      <c r="B1" s="23" t="s">
        <v>82</v>
      </c>
      <c r="C1" s="24">
        <f>INDEX(目录!E:E,MATCH(B1,目录!D:D,0))</f>
        <v>0</v>
      </c>
    </row>
    <row r="2" spans="1:10" x14ac:dyDescent="0.15">
      <c r="A2" s="25"/>
      <c r="B2" s="17"/>
      <c r="C2" s="17"/>
      <c r="D2" s="26"/>
      <c r="E2" s="27"/>
    </row>
    <row r="3" spans="1:10" x14ac:dyDescent="0.15">
      <c r="A3" s="65"/>
      <c r="B3" s="65"/>
      <c r="C3" s="65"/>
      <c r="D3" s="65"/>
      <c r="E3" s="65"/>
      <c r="F3" s="65"/>
      <c r="G3" s="65"/>
      <c r="H3" s="65"/>
      <c r="I3" s="65"/>
      <c r="J3" s="65"/>
    </row>
    <row r="4" spans="1:10" x14ac:dyDescent="0.15">
      <c r="A4" s="65"/>
      <c r="B4" s="65"/>
      <c r="C4" s="65"/>
      <c r="D4" s="65"/>
      <c r="E4" s="65"/>
      <c r="F4" s="65"/>
      <c r="G4" s="65"/>
      <c r="H4" s="65"/>
      <c r="I4" s="65"/>
      <c r="J4" s="65"/>
    </row>
    <row r="5" spans="1:10" x14ac:dyDescent="0.15">
      <c r="A5" s="65"/>
      <c r="B5" s="65"/>
      <c r="C5" s="65"/>
      <c r="D5" s="65"/>
      <c r="E5" s="65"/>
      <c r="F5" s="65"/>
      <c r="G5" s="65"/>
      <c r="H5" s="65"/>
      <c r="I5" s="65"/>
      <c r="J5" s="65"/>
    </row>
    <row r="6" spans="1:10" x14ac:dyDescent="0.15">
      <c r="A6" s="25"/>
      <c r="B6" s="17"/>
      <c r="C6" s="17"/>
      <c r="D6" s="26"/>
      <c r="E6" s="27"/>
    </row>
    <row r="7" spans="1:10" s="28" customFormat="1" x14ac:dyDescent="0.15">
      <c r="A7" s="11" t="s">
        <v>10</v>
      </c>
      <c r="B7" s="11" t="s">
        <v>18</v>
      </c>
      <c r="C7" s="11" t="s">
        <v>12</v>
      </c>
      <c r="D7" s="11" t="s">
        <v>11</v>
      </c>
      <c r="E7" s="11" t="s">
        <v>8</v>
      </c>
      <c r="F7" s="11" t="s">
        <v>13</v>
      </c>
      <c r="G7" s="11" t="s">
        <v>15</v>
      </c>
      <c r="H7" s="11" t="s">
        <v>14</v>
      </c>
      <c r="I7" s="11" t="s">
        <v>60</v>
      </c>
      <c r="J7" s="11" t="s">
        <v>26</v>
      </c>
    </row>
    <row r="8" spans="1:10" x14ac:dyDescent="0.15">
      <c r="A8" s="12">
        <f t="shared" ref="A8:A12" si="0">ROW(A8)-ROW(A$7)</f>
        <v>1</v>
      </c>
      <c r="B8" s="18"/>
      <c r="C8" s="18"/>
      <c r="D8" s="18"/>
      <c r="E8" s="19"/>
      <c r="F8" s="14"/>
      <c r="G8" s="12"/>
      <c r="H8" s="12"/>
      <c r="I8" s="29"/>
      <c r="J8" s="29"/>
    </row>
    <row r="9" spans="1:10" x14ac:dyDescent="0.15">
      <c r="A9" s="12">
        <f t="shared" si="0"/>
        <v>2</v>
      </c>
      <c r="B9" s="18"/>
      <c r="C9" s="18"/>
      <c r="D9" s="18"/>
      <c r="E9" s="19"/>
      <c r="F9" s="14"/>
      <c r="G9" s="12"/>
      <c r="H9" s="12"/>
      <c r="I9" s="29"/>
      <c r="J9" s="29"/>
    </row>
    <row r="10" spans="1:10" x14ac:dyDescent="0.15">
      <c r="A10" s="12">
        <f t="shared" si="0"/>
        <v>3</v>
      </c>
      <c r="B10" s="18"/>
      <c r="C10" s="18"/>
      <c r="D10" s="18"/>
      <c r="E10" s="19"/>
      <c r="F10" s="14"/>
      <c r="G10" s="12"/>
      <c r="H10" s="12"/>
      <c r="I10" s="29"/>
      <c r="J10" s="43"/>
    </row>
    <row r="11" spans="1:10" x14ac:dyDescent="0.15">
      <c r="A11" s="12">
        <f t="shared" si="0"/>
        <v>4</v>
      </c>
      <c r="B11" s="18"/>
      <c r="C11" s="18"/>
      <c r="D11" s="18"/>
      <c r="E11" s="19"/>
      <c r="F11" s="14"/>
      <c r="G11" s="12"/>
      <c r="H11" s="12"/>
      <c r="I11" s="29"/>
      <c r="J11" s="43"/>
    </row>
    <row r="12" spans="1:10" x14ac:dyDescent="0.15">
      <c r="A12" s="12">
        <f t="shared" si="0"/>
        <v>5</v>
      </c>
      <c r="B12" s="18"/>
      <c r="C12" s="18"/>
      <c r="D12" s="18"/>
      <c r="E12" s="19"/>
      <c r="F12" s="14"/>
      <c r="G12" s="12"/>
      <c r="H12" s="12"/>
      <c r="I12" s="29"/>
      <c r="J12" s="29"/>
    </row>
    <row r="13" spans="1:10" x14ac:dyDescent="0.15">
      <c r="A13" s="22" t="s">
        <v>7</v>
      </c>
      <c r="B13" s="22" t="s">
        <v>7</v>
      </c>
      <c r="C13" s="22" t="s">
        <v>7</v>
      </c>
      <c r="D13" s="13" t="s">
        <v>7</v>
      </c>
      <c r="E13" s="13" t="s">
        <v>7</v>
      </c>
      <c r="F13" s="13" t="s">
        <v>7</v>
      </c>
      <c r="G13" s="13" t="s">
        <v>7</v>
      </c>
      <c r="H13" s="13" t="s">
        <v>7</v>
      </c>
      <c r="I13" s="13" t="s">
        <v>7</v>
      </c>
      <c r="J13" s="13" t="s">
        <v>7</v>
      </c>
    </row>
    <row r="16" spans="1:10" x14ac:dyDescent="0.15">
      <c r="A16" s="11" t="s">
        <v>10</v>
      </c>
      <c r="B16" s="11" t="s">
        <v>19</v>
      </c>
      <c r="C16" s="11" t="s">
        <v>20</v>
      </c>
      <c r="D16" s="11" t="s">
        <v>21</v>
      </c>
      <c r="E16" s="11" t="s">
        <v>22</v>
      </c>
      <c r="F16" s="11" t="s">
        <v>23</v>
      </c>
      <c r="G16" s="11" t="s">
        <v>24</v>
      </c>
      <c r="H16" s="11" t="s">
        <v>25</v>
      </c>
      <c r="I16" s="11" t="s">
        <v>61</v>
      </c>
      <c r="J16" s="11" t="s">
        <v>27</v>
      </c>
    </row>
    <row r="17" spans="1:10" x14ac:dyDescent="0.15">
      <c r="A17" s="12">
        <f>ROW(A17)-ROW(A$16)</f>
        <v>1</v>
      </c>
      <c r="B17" s="18"/>
      <c r="C17" s="18"/>
      <c r="D17" s="18"/>
      <c r="E17" s="18"/>
      <c r="F17" s="18"/>
      <c r="G17" s="18"/>
      <c r="H17" s="18"/>
      <c r="I17" s="20"/>
      <c r="J17" s="18"/>
    </row>
    <row r="18" spans="1:10" x14ac:dyDescent="0.15">
      <c r="A18" s="12">
        <f>ROW(A18)-ROW(A$16)</f>
        <v>2</v>
      </c>
      <c r="B18" s="18"/>
      <c r="C18" s="18"/>
      <c r="D18" s="18"/>
      <c r="E18" s="18"/>
      <c r="F18" s="18"/>
      <c r="G18" s="18"/>
      <c r="H18" s="18"/>
      <c r="I18" s="20"/>
      <c r="J18" s="18"/>
    </row>
    <row r="19" spans="1:10" x14ac:dyDescent="0.15">
      <c r="A19" s="12">
        <f>ROW(A19)-ROW(A$16)</f>
        <v>3</v>
      </c>
      <c r="B19" s="18"/>
      <c r="C19" s="18"/>
      <c r="D19" s="18"/>
      <c r="E19" s="18"/>
      <c r="F19" s="18"/>
      <c r="G19" s="18"/>
      <c r="H19" s="18"/>
      <c r="I19" s="20"/>
      <c r="J19" s="18"/>
    </row>
    <row r="20" spans="1:10" x14ac:dyDescent="0.15">
      <c r="A20" s="12">
        <f>ROW(A20)-ROW(A$16)</f>
        <v>4</v>
      </c>
      <c r="B20" s="18"/>
      <c r="C20" s="18"/>
      <c r="D20" s="18"/>
      <c r="E20" s="18"/>
      <c r="F20" s="18"/>
      <c r="G20" s="18"/>
      <c r="H20" s="18"/>
      <c r="I20" s="20"/>
      <c r="J20" s="18"/>
    </row>
    <row r="21" spans="1:10" x14ac:dyDescent="0.15">
      <c r="A21" s="12">
        <f>ROW(A21)-ROW(A$16)</f>
        <v>5</v>
      </c>
      <c r="B21" s="18"/>
      <c r="C21" s="18"/>
      <c r="D21" s="18"/>
      <c r="E21" s="18"/>
      <c r="F21" s="18"/>
      <c r="G21" s="18"/>
      <c r="H21" s="18"/>
      <c r="I21" s="20"/>
      <c r="J21" s="18"/>
    </row>
    <row r="22" spans="1:10" x14ac:dyDescent="0.15">
      <c r="A22" s="22" t="s">
        <v>7</v>
      </c>
      <c r="B22" s="22" t="s">
        <v>7</v>
      </c>
      <c r="C22" s="22" t="s">
        <v>7</v>
      </c>
      <c r="D22" s="13" t="s">
        <v>7</v>
      </c>
      <c r="E22" s="13" t="s">
        <v>7</v>
      </c>
      <c r="F22" s="13" t="s">
        <v>7</v>
      </c>
      <c r="G22" s="13" t="s">
        <v>7</v>
      </c>
      <c r="H22" s="13" t="s">
        <v>7</v>
      </c>
      <c r="I22" s="13" t="s">
        <v>7</v>
      </c>
      <c r="J22" s="13" t="s">
        <v>7</v>
      </c>
    </row>
  </sheetData>
  <mergeCells count="1">
    <mergeCell ref="A3:J5"/>
  </mergeCells>
  <phoneticPr fontId="2" type="noConversion"/>
  <dataValidations count="1">
    <dataValidation type="list" allowBlank="1" showInputMessage="1" showErrorMessage="1" sqref="I17:I21 G8:H12">
      <formula1>"Y,N"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J37"/>
  <sheetViews>
    <sheetView workbookViewId="0">
      <selection activeCell="C1" sqref="C1"/>
    </sheetView>
  </sheetViews>
  <sheetFormatPr defaultRowHeight="12" x14ac:dyDescent="0.15"/>
  <cols>
    <col min="1" max="1" width="6.25" style="28" customWidth="1"/>
    <col min="2" max="2" width="15.125" style="23" bestFit="1" customWidth="1"/>
    <col min="3" max="3" width="15" style="23" bestFit="1" customWidth="1"/>
    <col min="4" max="4" width="12.375" style="23" customWidth="1"/>
    <col min="5" max="5" width="11.25" style="23" customWidth="1"/>
    <col min="6" max="6" width="11.75" style="23" customWidth="1"/>
    <col min="7" max="7" width="12.75" style="23" customWidth="1"/>
    <col min="8" max="8" width="14.875" style="23" customWidth="1"/>
    <col min="9" max="10" width="20.125" style="23" customWidth="1"/>
    <col min="11" max="16384" width="9" style="23"/>
  </cols>
  <sheetData>
    <row r="1" spans="1:10" x14ac:dyDescent="0.15">
      <c r="A1" s="21" t="e">
        <f>HYPERLINK(CONCATENATE("#'目录'!D",MATCH(B1,目录!D:D,0)),"返回")</f>
        <v>#N/A</v>
      </c>
      <c r="B1" s="23" t="s">
        <v>41</v>
      </c>
      <c r="C1" s="24" t="e">
        <f>INDEX(目录!E:E,MATCH(B1,目录!D:D,0))</f>
        <v>#N/A</v>
      </c>
    </row>
    <row r="2" spans="1:10" x14ac:dyDescent="0.15">
      <c r="A2" s="25"/>
      <c r="B2" s="17"/>
      <c r="C2" s="17"/>
      <c r="D2" s="26"/>
      <c r="E2" s="27"/>
    </row>
    <row r="3" spans="1:10" x14ac:dyDescent="0.15">
      <c r="A3" s="64"/>
      <c r="B3" s="64"/>
      <c r="C3" s="64"/>
      <c r="D3" s="64"/>
      <c r="E3" s="64"/>
      <c r="F3" s="64"/>
      <c r="G3" s="64"/>
      <c r="H3" s="64"/>
      <c r="I3" s="64"/>
      <c r="J3" s="64"/>
    </row>
    <row r="4" spans="1:10" x14ac:dyDescent="0.15">
      <c r="A4" s="64"/>
      <c r="B4" s="64"/>
      <c r="C4" s="64"/>
      <c r="D4" s="64"/>
      <c r="E4" s="64"/>
      <c r="F4" s="64"/>
      <c r="G4" s="64"/>
      <c r="H4" s="64"/>
      <c r="I4" s="64"/>
      <c r="J4" s="64"/>
    </row>
    <row r="5" spans="1:10" x14ac:dyDescent="0.15">
      <c r="A5" s="64"/>
      <c r="B5" s="64"/>
      <c r="C5" s="64"/>
      <c r="D5" s="64"/>
      <c r="E5" s="64"/>
      <c r="F5" s="64"/>
      <c r="G5" s="64"/>
      <c r="H5" s="64"/>
      <c r="I5" s="64"/>
      <c r="J5" s="64"/>
    </row>
    <row r="6" spans="1:10" x14ac:dyDescent="0.15">
      <c r="A6" s="25"/>
      <c r="B6" s="17"/>
      <c r="C6" s="17"/>
      <c r="D6" s="26"/>
      <c r="E6" s="27"/>
    </row>
    <row r="7" spans="1:10" s="28" customFormat="1" x14ac:dyDescent="0.15">
      <c r="A7" s="11" t="s">
        <v>10</v>
      </c>
      <c r="B7" s="11" t="s">
        <v>18</v>
      </c>
      <c r="C7" s="11" t="s">
        <v>12</v>
      </c>
      <c r="D7" s="11" t="s">
        <v>11</v>
      </c>
      <c r="E7" s="11" t="s">
        <v>8</v>
      </c>
      <c r="F7" s="11" t="s">
        <v>13</v>
      </c>
      <c r="G7" s="11" t="s">
        <v>15</v>
      </c>
      <c r="H7" s="11" t="s">
        <v>14</v>
      </c>
      <c r="I7" s="11" t="s">
        <v>60</v>
      </c>
      <c r="J7" s="11" t="s">
        <v>26</v>
      </c>
    </row>
    <row r="8" spans="1:10" x14ac:dyDescent="0.15">
      <c r="A8" s="12">
        <f t="shared" ref="A8:A25" si="0">ROW(A8)-ROW(A$7)</f>
        <v>1</v>
      </c>
      <c r="B8" s="18" t="s">
        <v>59</v>
      </c>
      <c r="C8" s="19" t="s">
        <v>30</v>
      </c>
      <c r="D8" s="18" t="s">
        <v>29</v>
      </c>
      <c r="E8" s="19">
        <v>32</v>
      </c>
      <c r="F8" s="14"/>
      <c r="G8" s="12" t="s">
        <v>17</v>
      </c>
      <c r="H8" s="12"/>
      <c r="I8" s="29"/>
      <c r="J8" s="29"/>
    </row>
    <row r="9" spans="1:10" x14ac:dyDescent="0.15">
      <c r="A9" s="12">
        <v>2</v>
      </c>
      <c r="B9" s="18" t="s">
        <v>34</v>
      </c>
      <c r="C9" s="18" t="s">
        <v>37</v>
      </c>
      <c r="D9" s="18" t="s">
        <v>31</v>
      </c>
      <c r="E9" s="19"/>
      <c r="F9" s="19"/>
      <c r="G9" s="20" t="s">
        <v>16</v>
      </c>
      <c r="H9" s="20"/>
      <c r="I9" s="29"/>
      <c r="J9" s="29" t="s">
        <v>38</v>
      </c>
    </row>
    <row r="10" spans="1:10" x14ac:dyDescent="0.15">
      <c r="A10" s="12">
        <f t="shared" si="0"/>
        <v>3</v>
      </c>
      <c r="B10" s="18" t="s">
        <v>72</v>
      </c>
      <c r="C10" s="18" t="s">
        <v>33</v>
      </c>
      <c r="D10" s="18" t="s">
        <v>32</v>
      </c>
      <c r="E10" s="19">
        <v>24</v>
      </c>
      <c r="F10" s="19">
        <v>6</v>
      </c>
      <c r="G10" s="20"/>
      <c r="H10" s="20"/>
      <c r="I10" s="29"/>
      <c r="J10" s="29"/>
    </row>
    <row r="11" spans="1:10" x14ac:dyDescent="0.15">
      <c r="A11" s="12">
        <f t="shared" si="0"/>
        <v>4</v>
      </c>
      <c r="B11" s="18" t="s">
        <v>40</v>
      </c>
      <c r="C11" s="18" t="s">
        <v>39</v>
      </c>
      <c r="D11" s="18" t="s">
        <v>32</v>
      </c>
      <c r="E11" s="19">
        <v>24</v>
      </c>
      <c r="F11" s="19">
        <v>6</v>
      </c>
      <c r="G11" s="20"/>
      <c r="H11" s="20"/>
      <c r="I11" s="29"/>
      <c r="J11" s="29"/>
    </row>
    <row r="12" spans="1:10" x14ac:dyDescent="0.15">
      <c r="A12" s="12">
        <f t="shared" si="0"/>
        <v>5</v>
      </c>
      <c r="B12" s="18" t="s">
        <v>74</v>
      </c>
      <c r="C12" s="18" t="s">
        <v>76</v>
      </c>
      <c r="D12" s="18" t="s">
        <v>32</v>
      </c>
      <c r="E12" s="19">
        <v>24</v>
      </c>
      <c r="F12" s="19">
        <v>6</v>
      </c>
      <c r="G12" s="20"/>
      <c r="H12" s="20"/>
      <c r="I12" s="29">
        <v>0</v>
      </c>
      <c r="J12" s="29" t="s">
        <v>75</v>
      </c>
    </row>
    <row r="13" spans="1:10" x14ac:dyDescent="0.15">
      <c r="A13" s="12">
        <f t="shared" si="0"/>
        <v>6</v>
      </c>
      <c r="B13" s="18"/>
      <c r="C13" s="18"/>
      <c r="D13" s="18"/>
      <c r="E13" s="19"/>
      <c r="F13" s="19"/>
      <c r="G13" s="20"/>
      <c r="H13" s="20"/>
      <c r="I13" s="29"/>
      <c r="J13" s="29"/>
    </row>
    <row r="14" spans="1:10" x14ac:dyDescent="0.15">
      <c r="A14" s="12">
        <f t="shared" si="0"/>
        <v>7</v>
      </c>
      <c r="B14" s="18"/>
      <c r="C14" s="18"/>
      <c r="D14" s="18"/>
      <c r="E14" s="19"/>
      <c r="F14" s="19"/>
      <c r="G14" s="20"/>
      <c r="H14" s="20"/>
      <c r="I14" s="29"/>
      <c r="J14" s="29"/>
    </row>
    <row r="15" spans="1:10" x14ac:dyDescent="0.15">
      <c r="A15" s="12">
        <f t="shared" si="0"/>
        <v>8</v>
      </c>
      <c r="B15" s="18"/>
      <c r="C15" s="18"/>
      <c r="D15" s="18"/>
      <c r="E15" s="19"/>
      <c r="F15" s="19"/>
      <c r="G15" s="20"/>
      <c r="H15" s="20"/>
      <c r="I15" s="29"/>
      <c r="J15" s="29"/>
    </row>
    <row r="16" spans="1:10" x14ac:dyDescent="0.15">
      <c r="A16" s="12">
        <f t="shared" si="0"/>
        <v>9</v>
      </c>
      <c r="B16" s="18"/>
      <c r="C16" s="18"/>
      <c r="D16" s="18"/>
      <c r="E16" s="19"/>
      <c r="F16" s="19"/>
      <c r="G16" s="20"/>
      <c r="H16" s="20"/>
      <c r="I16" s="29"/>
      <c r="J16" s="29"/>
    </row>
    <row r="17" spans="1:10" x14ac:dyDescent="0.15">
      <c r="A17" s="12">
        <f t="shared" si="0"/>
        <v>10</v>
      </c>
      <c r="B17" s="18"/>
      <c r="C17" s="18"/>
      <c r="D17" s="18"/>
      <c r="E17" s="19"/>
      <c r="F17" s="19"/>
      <c r="G17" s="20"/>
      <c r="H17" s="20"/>
      <c r="I17" s="29"/>
      <c r="J17" s="29"/>
    </row>
    <row r="18" spans="1:10" x14ac:dyDescent="0.15">
      <c r="A18" s="12">
        <f t="shared" si="0"/>
        <v>11</v>
      </c>
      <c r="B18" s="18"/>
      <c r="C18" s="18"/>
      <c r="D18" s="18"/>
      <c r="E18" s="19"/>
      <c r="F18" s="19"/>
      <c r="G18" s="20"/>
      <c r="H18" s="20"/>
      <c r="I18" s="29"/>
      <c r="J18" s="29"/>
    </row>
    <row r="19" spans="1:10" x14ac:dyDescent="0.15">
      <c r="A19" s="12">
        <f t="shared" si="0"/>
        <v>12</v>
      </c>
      <c r="B19" s="18"/>
      <c r="C19" s="18"/>
      <c r="D19" s="18"/>
      <c r="E19" s="19"/>
      <c r="F19" s="19"/>
      <c r="G19" s="20"/>
      <c r="H19" s="20"/>
      <c r="I19" s="29"/>
      <c r="J19" s="29"/>
    </row>
    <row r="20" spans="1:10" x14ac:dyDescent="0.15">
      <c r="A20" s="12">
        <f t="shared" si="0"/>
        <v>13</v>
      </c>
      <c r="B20" s="18"/>
      <c r="C20" s="18"/>
      <c r="D20" s="18"/>
      <c r="E20" s="19"/>
      <c r="F20" s="19"/>
      <c r="G20" s="20"/>
      <c r="H20" s="20"/>
      <c r="I20" s="29"/>
      <c r="J20" s="29"/>
    </row>
    <row r="21" spans="1:10" x14ac:dyDescent="0.15">
      <c r="A21" s="12">
        <f t="shared" si="0"/>
        <v>14</v>
      </c>
      <c r="B21" s="18"/>
      <c r="C21" s="18"/>
      <c r="D21" s="18"/>
      <c r="E21" s="19"/>
      <c r="F21" s="19"/>
      <c r="G21" s="20"/>
      <c r="H21" s="20"/>
      <c r="I21" s="29"/>
      <c r="J21" s="29"/>
    </row>
    <row r="22" spans="1:10" x14ac:dyDescent="0.15">
      <c r="A22" s="12">
        <f t="shared" si="0"/>
        <v>15</v>
      </c>
      <c r="B22" s="18"/>
      <c r="C22" s="18"/>
      <c r="D22" s="18"/>
      <c r="E22" s="19"/>
      <c r="F22" s="19"/>
      <c r="G22" s="20"/>
      <c r="H22" s="20"/>
      <c r="I22" s="29"/>
      <c r="J22" s="29"/>
    </row>
    <row r="23" spans="1:10" x14ac:dyDescent="0.15">
      <c r="A23" s="12">
        <f t="shared" si="0"/>
        <v>16</v>
      </c>
      <c r="B23" s="18"/>
      <c r="C23" s="18"/>
      <c r="D23" s="18"/>
      <c r="E23" s="19"/>
      <c r="F23" s="19"/>
      <c r="G23" s="20"/>
      <c r="H23" s="20"/>
      <c r="I23" s="29"/>
      <c r="J23" s="29"/>
    </row>
    <row r="24" spans="1:10" x14ac:dyDescent="0.15">
      <c r="A24" s="12">
        <f t="shared" si="0"/>
        <v>17</v>
      </c>
      <c r="B24" s="18"/>
      <c r="C24" s="18"/>
      <c r="D24" s="18"/>
      <c r="E24" s="19"/>
      <c r="F24" s="19"/>
      <c r="G24" s="20"/>
      <c r="H24" s="20"/>
      <c r="I24" s="29"/>
      <c r="J24" s="29"/>
    </row>
    <row r="25" spans="1:10" x14ac:dyDescent="0.15">
      <c r="A25" s="12">
        <f t="shared" si="0"/>
        <v>18</v>
      </c>
      <c r="B25" s="18"/>
      <c r="C25" s="18"/>
      <c r="D25" s="18"/>
      <c r="E25" s="19"/>
      <c r="F25" s="19"/>
      <c r="G25" s="20"/>
      <c r="H25" s="20"/>
      <c r="I25" s="29"/>
      <c r="J25" s="29"/>
    </row>
    <row r="26" spans="1:10" x14ac:dyDescent="0.15">
      <c r="A26" s="22" t="s">
        <v>7</v>
      </c>
      <c r="B26" s="22" t="s">
        <v>7</v>
      </c>
      <c r="C26" s="22" t="s">
        <v>7</v>
      </c>
      <c r="D26" s="13" t="s">
        <v>7</v>
      </c>
      <c r="E26" s="13" t="s">
        <v>7</v>
      </c>
      <c r="F26" s="13" t="s">
        <v>7</v>
      </c>
      <c r="G26" s="13" t="s">
        <v>7</v>
      </c>
      <c r="H26" s="13" t="s">
        <v>7</v>
      </c>
      <c r="I26" s="13" t="s">
        <v>7</v>
      </c>
      <c r="J26" s="13" t="s">
        <v>7</v>
      </c>
    </row>
    <row r="29" spans="1:10" x14ac:dyDescent="0.15">
      <c r="A29" s="11" t="s">
        <v>10</v>
      </c>
      <c r="B29" s="11" t="s">
        <v>19</v>
      </c>
      <c r="C29" s="11" t="s">
        <v>20</v>
      </c>
      <c r="D29" s="11" t="s">
        <v>21</v>
      </c>
      <c r="E29" s="11" t="s">
        <v>22</v>
      </c>
      <c r="F29" s="11" t="s">
        <v>23</v>
      </c>
      <c r="G29" s="11" t="s">
        <v>24</v>
      </c>
      <c r="H29" s="11" t="s">
        <v>25</v>
      </c>
      <c r="I29" s="11" t="s">
        <v>61</v>
      </c>
      <c r="J29" s="11" t="s">
        <v>26</v>
      </c>
    </row>
    <row r="30" spans="1:10" x14ac:dyDescent="0.15">
      <c r="A30" s="12">
        <f>ROW(A30)-ROW(A$29)</f>
        <v>1</v>
      </c>
      <c r="B30" s="18"/>
      <c r="C30" s="18" t="s">
        <v>35</v>
      </c>
      <c r="D30" s="18" t="s">
        <v>34</v>
      </c>
      <c r="E30" s="18"/>
      <c r="F30" s="18"/>
      <c r="G30" s="18"/>
      <c r="H30" s="18"/>
      <c r="I30" s="20"/>
      <c r="J30" s="18"/>
    </row>
    <row r="31" spans="1:10" x14ac:dyDescent="0.15">
      <c r="A31" s="12">
        <f t="shared" ref="A31:A36" si="1">ROW(A31)-ROW(A$29)</f>
        <v>2</v>
      </c>
      <c r="B31" s="18"/>
      <c r="C31" s="18"/>
      <c r="D31" s="18"/>
      <c r="E31" s="18"/>
      <c r="F31" s="18"/>
      <c r="G31" s="18"/>
      <c r="H31" s="18"/>
      <c r="I31" s="20"/>
      <c r="J31" s="18"/>
    </row>
    <row r="32" spans="1:10" x14ac:dyDescent="0.15">
      <c r="A32" s="12">
        <f t="shared" si="1"/>
        <v>3</v>
      </c>
      <c r="B32" s="18"/>
      <c r="C32" s="18"/>
      <c r="D32" s="18"/>
      <c r="E32" s="18"/>
      <c r="F32" s="18"/>
      <c r="G32" s="18"/>
      <c r="H32" s="18"/>
      <c r="I32" s="20"/>
      <c r="J32" s="18"/>
    </row>
    <row r="33" spans="1:10" x14ac:dyDescent="0.15">
      <c r="A33" s="12">
        <f t="shared" si="1"/>
        <v>4</v>
      </c>
      <c r="B33" s="18"/>
      <c r="C33" s="18"/>
      <c r="D33" s="18"/>
      <c r="E33" s="18"/>
      <c r="F33" s="18"/>
      <c r="G33" s="18"/>
      <c r="H33" s="18"/>
      <c r="I33" s="20"/>
      <c r="J33" s="18"/>
    </row>
    <row r="34" spans="1:10" x14ac:dyDescent="0.15">
      <c r="A34" s="12">
        <f t="shared" si="1"/>
        <v>5</v>
      </c>
      <c r="B34" s="18"/>
      <c r="C34" s="18"/>
      <c r="D34" s="18"/>
      <c r="E34" s="18"/>
      <c r="F34" s="18"/>
      <c r="G34" s="18"/>
      <c r="H34" s="18"/>
      <c r="I34" s="20"/>
      <c r="J34" s="18"/>
    </row>
    <row r="35" spans="1:10" x14ac:dyDescent="0.15">
      <c r="A35" s="12">
        <f t="shared" si="1"/>
        <v>6</v>
      </c>
      <c r="B35" s="18"/>
      <c r="C35" s="18"/>
      <c r="D35" s="18"/>
      <c r="E35" s="18"/>
      <c r="F35" s="18"/>
      <c r="G35" s="18"/>
      <c r="H35" s="18"/>
      <c r="I35" s="20"/>
      <c r="J35" s="18"/>
    </row>
    <row r="36" spans="1:10" x14ac:dyDescent="0.15">
      <c r="A36" s="12">
        <f t="shared" si="1"/>
        <v>7</v>
      </c>
      <c r="B36" s="18"/>
      <c r="C36" s="18"/>
      <c r="D36" s="18"/>
      <c r="E36" s="18"/>
      <c r="F36" s="18"/>
      <c r="G36" s="18"/>
      <c r="H36" s="18"/>
      <c r="I36" s="20"/>
      <c r="J36" s="18"/>
    </row>
    <row r="37" spans="1:10" x14ac:dyDescent="0.15">
      <c r="A37" s="22" t="s">
        <v>7</v>
      </c>
      <c r="B37" s="22" t="s">
        <v>7</v>
      </c>
      <c r="C37" s="22" t="s">
        <v>7</v>
      </c>
      <c r="D37" s="13" t="s">
        <v>7</v>
      </c>
      <c r="E37" s="13" t="s">
        <v>7</v>
      </c>
      <c r="F37" s="13" t="s">
        <v>7</v>
      </c>
      <c r="G37" s="13" t="s">
        <v>7</v>
      </c>
      <c r="H37" s="13" t="s">
        <v>7</v>
      </c>
      <c r="I37" s="13" t="s">
        <v>7</v>
      </c>
      <c r="J37" s="13" t="s">
        <v>7</v>
      </c>
    </row>
  </sheetData>
  <mergeCells count="1">
    <mergeCell ref="A3:J5"/>
  </mergeCells>
  <phoneticPr fontId="2" type="noConversion"/>
  <dataValidations count="1">
    <dataValidation type="list" allowBlank="1" showInputMessage="1" showErrorMessage="1" sqref="I30:I36 G8:H25">
      <formula1>"Y,N"</formula1>
    </dataValidation>
  </dataValidations>
  <pageMargins left="0.7" right="0.7" top="0.75" bottom="0.75" header="0.3" footer="0.3"/>
  <pageSetup paperSize="9" orientation="portrait" horizontalDpi="300" verticalDpi="3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>
    <tabColor theme="1" tint="4.9989318521683403E-2"/>
  </sheetPr>
  <dimension ref="A1:J37"/>
  <sheetViews>
    <sheetView workbookViewId="0">
      <selection activeCell="A3" sqref="A3:J5"/>
    </sheetView>
  </sheetViews>
  <sheetFormatPr defaultRowHeight="12" x14ac:dyDescent="0.15"/>
  <cols>
    <col min="1" max="1" width="6.25" style="28" customWidth="1"/>
    <col min="2" max="2" width="15.125" style="23" bestFit="1" customWidth="1"/>
    <col min="3" max="3" width="15" style="23" bestFit="1" customWidth="1"/>
    <col min="4" max="4" width="12.375" style="23" customWidth="1"/>
    <col min="5" max="5" width="11.25" style="23" customWidth="1"/>
    <col min="6" max="6" width="11.75" style="23" customWidth="1"/>
    <col min="7" max="7" width="12.75" style="23" customWidth="1"/>
    <col min="8" max="8" width="14.875" style="23" customWidth="1"/>
    <col min="9" max="9" width="13.25" style="23" customWidth="1"/>
    <col min="10" max="10" width="20.125" style="23" customWidth="1"/>
    <col min="11" max="16384" width="9" style="23"/>
  </cols>
  <sheetData>
    <row r="1" spans="1:10" x14ac:dyDescent="0.15">
      <c r="A1" s="21" t="e">
        <f>HYPERLINK(CONCATENATE("#'目录'!D",MATCH(B1,目录!D:D,0)),"返回")</f>
        <v>#N/A</v>
      </c>
      <c r="B1" s="57" t="s">
        <v>42</v>
      </c>
      <c r="C1" s="24" t="e">
        <f>INDEX(目录!E:E,MATCH(B1,目录!D:D,0))</f>
        <v>#N/A</v>
      </c>
    </row>
    <row r="2" spans="1:10" x14ac:dyDescent="0.15">
      <c r="A2" s="25"/>
      <c r="B2" s="17"/>
      <c r="C2" s="17"/>
      <c r="D2" s="26"/>
      <c r="E2" s="27"/>
    </row>
    <row r="3" spans="1:10" x14ac:dyDescent="0.15">
      <c r="A3" s="64"/>
      <c r="B3" s="64"/>
      <c r="C3" s="64"/>
      <c r="D3" s="64"/>
      <c r="E3" s="64"/>
      <c r="F3" s="64"/>
      <c r="G3" s="64"/>
      <c r="H3" s="64"/>
      <c r="I3" s="64"/>
      <c r="J3" s="64"/>
    </row>
    <row r="4" spans="1:10" x14ac:dyDescent="0.15">
      <c r="A4" s="64"/>
      <c r="B4" s="64"/>
      <c r="C4" s="64"/>
      <c r="D4" s="64"/>
      <c r="E4" s="64"/>
      <c r="F4" s="64"/>
      <c r="G4" s="64"/>
      <c r="H4" s="64"/>
      <c r="I4" s="64"/>
      <c r="J4" s="64"/>
    </row>
    <row r="5" spans="1:10" x14ac:dyDescent="0.15">
      <c r="A5" s="64"/>
      <c r="B5" s="64"/>
      <c r="C5" s="64"/>
      <c r="D5" s="64"/>
      <c r="E5" s="64"/>
      <c r="F5" s="64"/>
      <c r="G5" s="64"/>
      <c r="H5" s="64"/>
      <c r="I5" s="64"/>
      <c r="J5" s="64"/>
    </row>
    <row r="6" spans="1:10" x14ac:dyDescent="0.15">
      <c r="A6" s="25"/>
      <c r="B6" s="17"/>
      <c r="C6" s="17"/>
      <c r="D6" s="26"/>
      <c r="E6" s="27"/>
    </row>
    <row r="7" spans="1:10" s="28" customFormat="1" x14ac:dyDescent="0.15">
      <c r="A7" s="11" t="s">
        <v>10</v>
      </c>
      <c r="B7" s="11" t="s">
        <v>18</v>
      </c>
      <c r="C7" s="11" t="s">
        <v>12</v>
      </c>
      <c r="D7" s="11" t="s">
        <v>11</v>
      </c>
      <c r="E7" s="11" t="s">
        <v>8</v>
      </c>
      <c r="F7" s="11" t="s">
        <v>13</v>
      </c>
      <c r="G7" s="11" t="s">
        <v>15</v>
      </c>
      <c r="H7" s="11" t="s">
        <v>14</v>
      </c>
      <c r="I7" s="11" t="s">
        <v>60</v>
      </c>
      <c r="J7" s="11" t="s">
        <v>26</v>
      </c>
    </row>
    <row r="8" spans="1:10" x14ac:dyDescent="0.15">
      <c r="A8" s="12">
        <f t="shared" ref="A8:A25" si="0">ROW(A8)-ROW(A$7)</f>
        <v>1</v>
      </c>
      <c r="B8" s="18" t="s">
        <v>36</v>
      </c>
      <c r="C8" s="19" t="s">
        <v>43</v>
      </c>
      <c r="D8" s="18" t="s">
        <v>29</v>
      </c>
      <c r="E8" s="19">
        <v>32</v>
      </c>
      <c r="F8" s="14"/>
      <c r="G8" s="12" t="s">
        <v>17</v>
      </c>
      <c r="H8" s="12" t="s">
        <v>16</v>
      </c>
      <c r="I8" s="29"/>
      <c r="J8" s="29"/>
    </row>
    <row r="9" spans="1:10" x14ac:dyDescent="0.15">
      <c r="A9" s="12">
        <v>2</v>
      </c>
      <c r="B9" s="18" t="s">
        <v>34</v>
      </c>
      <c r="C9" s="18" t="s">
        <v>37</v>
      </c>
      <c r="D9" s="18" t="s">
        <v>31</v>
      </c>
      <c r="E9" s="19"/>
      <c r="F9" s="19"/>
      <c r="G9" s="20" t="s">
        <v>16</v>
      </c>
      <c r="H9" s="12" t="s">
        <v>16</v>
      </c>
      <c r="I9" s="29"/>
      <c r="J9" s="29" t="s">
        <v>38</v>
      </c>
    </row>
    <row r="10" spans="1:10" x14ac:dyDescent="0.15">
      <c r="A10" s="12">
        <f t="shared" si="0"/>
        <v>3</v>
      </c>
      <c r="B10" s="18" t="s">
        <v>73</v>
      </c>
      <c r="C10" s="18" t="s">
        <v>33</v>
      </c>
      <c r="D10" s="18" t="s">
        <v>32</v>
      </c>
      <c r="E10" s="19">
        <v>24</v>
      </c>
      <c r="F10" s="19">
        <v>6</v>
      </c>
      <c r="G10" s="20"/>
      <c r="H10" s="20"/>
      <c r="I10" s="29"/>
      <c r="J10" s="29"/>
    </row>
    <row r="11" spans="1:10" x14ac:dyDescent="0.15">
      <c r="A11" s="12">
        <f t="shared" si="0"/>
        <v>4</v>
      </c>
      <c r="B11" s="18" t="s">
        <v>40</v>
      </c>
      <c r="C11" s="18" t="s">
        <v>39</v>
      </c>
      <c r="D11" s="18" t="s">
        <v>32</v>
      </c>
      <c r="E11" s="19">
        <v>24</v>
      </c>
      <c r="F11" s="19">
        <v>6</v>
      </c>
      <c r="G11" s="20"/>
      <c r="H11" s="20"/>
      <c r="I11" s="29"/>
      <c r="J11" s="29"/>
    </row>
    <row r="12" spans="1:10" x14ac:dyDescent="0.15">
      <c r="A12" s="12">
        <f t="shared" si="0"/>
        <v>5</v>
      </c>
      <c r="B12" s="18"/>
      <c r="C12" s="18"/>
      <c r="D12" s="18"/>
      <c r="E12" s="19"/>
      <c r="F12" s="19"/>
      <c r="G12" s="20"/>
      <c r="H12" s="20"/>
      <c r="I12" s="29"/>
      <c r="J12" s="29"/>
    </row>
    <row r="13" spans="1:10" x14ac:dyDescent="0.15">
      <c r="A13" s="12">
        <f t="shared" si="0"/>
        <v>6</v>
      </c>
      <c r="B13" s="18"/>
      <c r="C13" s="18"/>
      <c r="D13" s="18"/>
      <c r="E13" s="19"/>
      <c r="F13" s="19"/>
      <c r="G13" s="20"/>
      <c r="H13" s="20"/>
      <c r="I13" s="29"/>
      <c r="J13" s="29"/>
    </row>
    <row r="14" spans="1:10" x14ac:dyDescent="0.15">
      <c r="A14" s="12">
        <f t="shared" si="0"/>
        <v>7</v>
      </c>
      <c r="B14" s="18"/>
      <c r="C14" s="18"/>
      <c r="D14" s="18"/>
      <c r="E14" s="19"/>
      <c r="F14" s="19"/>
      <c r="G14" s="20"/>
      <c r="H14" s="20"/>
      <c r="I14" s="29"/>
      <c r="J14" s="29"/>
    </row>
    <row r="15" spans="1:10" x14ac:dyDescent="0.15">
      <c r="A15" s="12">
        <f t="shared" si="0"/>
        <v>8</v>
      </c>
      <c r="B15" s="18"/>
      <c r="C15" s="18"/>
      <c r="D15" s="18"/>
      <c r="E15" s="19"/>
      <c r="F15" s="19"/>
      <c r="G15" s="20"/>
      <c r="H15" s="20"/>
      <c r="I15" s="29"/>
      <c r="J15" s="29"/>
    </row>
    <row r="16" spans="1:10" x14ac:dyDescent="0.15">
      <c r="A16" s="12">
        <f t="shared" si="0"/>
        <v>9</v>
      </c>
      <c r="B16" s="18"/>
      <c r="C16" s="18"/>
      <c r="D16" s="18"/>
      <c r="E16" s="19"/>
      <c r="F16" s="19"/>
      <c r="G16" s="20"/>
      <c r="H16" s="20"/>
      <c r="I16" s="29"/>
      <c r="J16" s="29"/>
    </row>
    <row r="17" spans="1:10" x14ac:dyDescent="0.15">
      <c r="A17" s="12">
        <f t="shared" si="0"/>
        <v>10</v>
      </c>
      <c r="B17" s="18"/>
      <c r="C17" s="18"/>
      <c r="D17" s="18"/>
      <c r="E17" s="19"/>
      <c r="F17" s="19"/>
      <c r="G17" s="20"/>
      <c r="H17" s="20"/>
      <c r="I17" s="29"/>
      <c r="J17" s="29"/>
    </row>
    <row r="18" spans="1:10" x14ac:dyDescent="0.15">
      <c r="A18" s="12">
        <f t="shared" si="0"/>
        <v>11</v>
      </c>
      <c r="B18" s="18"/>
      <c r="C18" s="18"/>
      <c r="D18" s="18"/>
      <c r="E18" s="19"/>
      <c r="F18" s="19"/>
      <c r="G18" s="20"/>
      <c r="H18" s="20"/>
      <c r="I18" s="29"/>
      <c r="J18" s="29"/>
    </row>
    <row r="19" spans="1:10" x14ac:dyDescent="0.15">
      <c r="A19" s="12">
        <f t="shared" si="0"/>
        <v>12</v>
      </c>
      <c r="B19" s="18"/>
      <c r="C19" s="18"/>
      <c r="D19" s="18"/>
      <c r="E19" s="19"/>
      <c r="F19" s="19"/>
      <c r="G19" s="20"/>
      <c r="H19" s="20"/>
      <c r="I19" s="29"/>
      <c r="J19" s="29"/>
    </row>
    <row r="20" spans="1:10" x14ac:dyDescent="0.15">
      <c r="A20" s="12">
        <f t="shared" si="0"/>
        <v>13</v>
      </c>
      <c r="B20" s="18"/>
      <c r="C20" s="18"/>
      <c r="D20" s="18"/>
      <c r="E20" s="19"/>
      <c r="F20" s="19"/>
      <c r="G20" s="20"/>
      <c r="H20" s="20"/>
      <c r="I20" s="29"/>
      <c r="J20" s="29"/>
    </row>
    <row r="21" spans="1:10" x14ac:dyDescent="0.15">
      <c r="A21" s="12">
        <f t="shared" si="0"/>
        <v>14</v>
      </c>
      <c r="B21" s="18"/>
      <c r="C21" s="18"/>
      <c r="D21" s="18"/>
      <c r="E21" s="19"/>
      <c r="F21" s="19"/>
      <c r="G21" s="20"/>
      <c r="H21" s="20"/>
      <c r="I21" s="29"/>
      <c r="J21" s="29"/>
    </row>
    <row r="22" spans="1:10" x14ac:dyDescent="0.15">
      <c r="A22" s="12">
        <f t="shared" si="0"/>
        <v>15</v>
      </c>
      <c r="B22" s="18"/>
      <c r="C22" s="18"/>
      <c r="D22" s="18"/>
      <c r="E22" s="19"/>
      <c r="F22" s="19"/>
      <c r="G22" s="20"/>
      <c r="H22" s="20"/>
      <c r="I22" s="29"/>
      <c r="J22" s="29"/>
    </row>
    <row r="23" spans="1:10" x14ac:dyDescent="0.15">
      <c r="A23" s="12">
        <f t="shared" si="0"/>
        <v>16</v>
      </c>
      <c r="B23" s="18"/>
      <c r="C23" s="18"/>
      <c r="D23" s="18"/>
      <c r="E23" s="19"/>
      <c r="F23" s="19"/>
      <c r="G23" s="20"/>
      <c r="H23" s="20"/>
      <c r="I23" s="29"/>
      <c r="J23" s="29"/>
    </row>
    <row r="24" spans="1:10" x14ac:dyDescent="0.15">
      <c r="A24" s="12">
        <f t="shared" si="0"/>
        <v>17</v>
      </c>
      <c r="B24" s="18"/>
      <c r="C24" s="18"/>
      <c r="D24" s="18"/>
      <c r="E24" s="19"/>
      <c r="F24" s="19"/>
      <c r="G24" s="20"/>
      <c r="H24" s="20"/>
      <c r="I24" s="29"/>
      <c r="J24" s="29"/>
    </row>
    <row r="25" spans="1:10" x14ac:dyDescent="0.15">
      <c r="A25" s="12">
        <f t="shared" si="0"/>
        <v>18</v>
      </c>
      <c r="B25" s="18"/>
      <c r="C25" s="18"/>
      <c r="D25" s="18"/>
      <c r="E25" s="19"/>
      <c r="F25" s="19"/>
      <c r="G25" s="20"/>
      <c r="H25" s="20"/>
      <c r="I25" s="29"/>
      <c r="J25" s="29"/>
    </row>
    <row r="26" spans="1:10" x14ac:dyDescent="0.15">
      <c r="A26" s="22" t="s">
        <v>7</v>
      </c>
      <c r="B26" s="22" t="s">
        <v>7</v>
      </c>
      <c r="C26" s="22" t="s">
        <v>7</v>
      </c>
      <c r="D26" s="13" t="s">
        <v>7</v>
      </c>
      <c r="E26" s="13" t="s">
        <v>7</v>
      </c>
      <c r="F26" s="13" t="s">
        <v>7</v>
      </c>
      <c r="G26" s="13" t="s">
        <v>7</v>
      </c>
      <c r="H26" s="13" t="s">
        <v>7</v>
      </c>
      <c r="I26" s="13" t="s">
        <v>7</v>
      </c>
      <c r="J26" s="13" t="s">
        <v>7</v>
      </c>
    </row>
    <row r="29" spans="1:10" x14ac:dyDescent="0.15">
      <c r="A29" s="11" t="s">
        <v>10</v>
      </c>
      <c r="B29" s="11" t="s">
        <v>19</v>
      </c>
      <c r="C29" s="11" t="s">
        <v>20</v>
      </c>
      <c r="D29" s="11" t="s">
        <v>21</v>
      </c>
      <c r="E29" s="11" t="s">
        <v>22</v>
      </c>
      <c r="F29" s="11" t="s">
        <v>23</v>
      </c>
      <c r="G29" s="11" t="s">
        <v>24</v>
      </c>
      <c r="H29" s="11" t="s">
        <v>25</v>
      </c>
      <c r="I29" s="11" t="s">
        <v>61</v>
      </c>
      <c r="J29" s="11" t="s">
        <v>26</v>
      </c>
    </row>
    <row r="30" spans="1:10" x14ac:dyDescent="0.15">
      <c r="A30" s="12">
        <f>ROW(A30)-ROW(A$29)</f>
        <v>1</v>
      </c>
      <c r="B30" s="18"/>
      <c r="C30" s="18"/>
      <c r="D30" s="18"/>
      <c r="E30" s="18"/>
      <c r="F30" s="18"/>
      <c r="G30" s="18"/>
      <c r="H30" s="18"/>
      <c r="I30" s="20"/>
      <c r="J30" s="18"/>
    </row>
    <row r="31" spans="1:10" x14ac:dyDescent="0.15">
      <c r="A31" s="12">
        <f t="shared" ref="A31:A36" si="1">ROW(A31)-ROW(A$29)</f>
        <v>2</v>
      </c>
      <c r="B31" s="18"/>
      <c r="C31" s="18"/>
      <c r="D31" s="18"/>
      <c r="E31" s="18"/>
      <c r="F31" s="18"/>
      <c r="G31" s="18"/>
      <c r="H31" s="18"/>
      <c r="I31" s="20"/>
      <c r="J31" s="18"/>
    </row>
    <row r="32" spans="1:10" x14ac:dyDescent="0.15">
      <c r="A32" s="12">
        <f t="shared" si="1"/>
        <v>3</v>
      </c>
      <c r="B32" s="18"/>
      <c r="C32" s="18"/>
      <c r="D32" s="18"/>
      <c r="E32" s="18"/>
      <c r="F32" s="18"/>
      <c r="G32" s="18"/>
      <c r="H32" s="18"/>
      <c r="I32" s="20"/>
      <c r="J32" s="18"/>
    </row>
    <row r="33" spans="1:10" x14ac:dyDescent="0.15">
      <c r="A33" s="12">
        <f t="shared" si="1"/>
        <v>4</v>
      </c>
      <c r="B33" s="18"/>
      <c r="C33" s="18"/>
      <c r="D33" s="18"/>
      <c r="E33" s="18"/>
      <c r="F33" s="18"/>
      <c r="G33" s="18"/>
      <c r="H33" s="18"/>
      <c r="I33" s="20"/>
      <c r="J33" s="18"/>
    </row>
    <row r="34" spans="1:10" x14ac:dyDescent="0.15">
      <c r="A34" s="12">
        <f t="shared" si="1"/>
        <v>5</v>
      </c>
      <c r="B34" s="18"/>
      <c r="C34" s="18"/>
      <c r="D34" s="18"/>
      <c r="E34" s="18"/>
      <c r="F34" s="18"/>
      <c r="G34" s="18"/>
      <c r="H34" s="18"/>
      <c r="I34" s="20"/>
      <c r="J34" s="18"/>
    </row>
    <row r="35" spans="1:10" x14ac:dyDescent="0.15">
      <c r="A35" s="12">
        <f t="shared" si="1"/>
        <v>6</v>
      </c>
      <c r="B35" s="18"/>
      <c r="C35" s="18"/>
      <c r="D35" s="18"/>
      <c r="E35" s="18"/>
      <c r="F35" s="18"/>
      <c r="G35" s="18"/>
      <c r="H35" s="18"/>
      <c r="I35" s="20"/>
      <c r="J35" s="18"/>
    </row>
    <row r="36" spans="1:10" x14ac:dyDescent="0.15">
      <c r="A36" s="12">
        <f t="shared" si="1"/>
        <v>7</v>
      </c>
      <c r="B36" s="18"/>
      <c r="C36" s="18"/>
      <c r="D36" s="18"/>
      <c r="E36" s="18"/>
      <c r="F36" s="18"/>
      <c r="G36" s="18"/>
      <c r="H36" s="18"/>
      <c r="I36" s="20"/>
      <c r="J36" s="18"/>
    </row>
    <row r="37" spans="1:10" x14ac:dyDescent="0.15">
      <c r="A37" s="22" t="s">
        <v>7</v>
      </c>
      <c r="B37" s="22" t="s">
        <v>7</v>
      </c>
      <c r="C37" s="22" t="s">
        <v>7</v>
      </c>
      <c r="D37" s="13" t="s">
        <v>7</v>
      </c>
      <c r="E37" s="13" t="s">
        <v>7</v>
      </c>
      <c r="F37" s="13" t="s">
        <v>7</v>
      </c>
      <c r="G37" s="13" t="s">
        <v>7</v>
      </c>
      <c r="H37" s="13" t="s">
        <v>7</v>
      </c>
      <c r="I37" s="13" t="s">
        <v>7</v>
      </c>
      <c r="J37" s="13" t="s">
        <v>7</v>
      </c>
    </row>
  </sheetData>
  <mergeCells count="1">
    <mergeCell ref="A3:J5"/>
  </mergeCells>
  <phoneticPr fontId="2" type="noConversion"/>
  <dataValidations count="1">
    <dataValidation type="list" allowBlank="1" showInputMessage="1" showErrorMessage="1" sqref="I30:I36 G8:H25">
      <formula1>"Y,N"</formula1>
    </dataValidation>
  </dataValidations>
  <pageMargins left="0.7" right="0.7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控制台</vt:lpstr>
      <vt:lpstr>变更记录</vt:lpstr>
      <vt:lpstr>目录</vt:lpstr>
      <vt:lpstr>模板</vt:lpstr>
      <vt:lpstr>基准收益率表</vt:lpstr>
      <vt:lpstr>关注组合收益率表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Kerry Mania</cp:lastModifiedBy>
  <dcterms:created xsi:type="dcterms:W3CDTF">2006-09-16T00:00:00Z</dcterms:created>
  <dcterms:modified xsi:type="dcterms:W3CDTF">2017-06-18T14:44:21Z</dcterms:modified>
</cp:coreProperties>
</file>