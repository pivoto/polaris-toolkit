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code\me\librecoder\awesome\code\awesome-coding\coding\awesome-coding\awesome-dbv\src\main\resources\"/>
    </mc:Choice>
  </mc:AlternateContent>
  <bookViews>
    <workbookView xWindow="240" yWindow="105" windowWidth="14805" windowHeight="8010" tabRatio="692" activeTab="3"/>
  </bookViews>
  <sheets>
    <sheet name="公共域" sheetId="43" r:id="rId1"/>
    <sheet name="控制台" sheetId="41" r:id="rId2"/>
    <sheet name="变更记录" sheetId="2" r:id="rId3"/>
    <sheet name="目录" sheetId="1" r:id="rId4"/>
    <sheet name="模板" sheetId="32" r:id="rId5"/>
  </sheets>
  <calcPr calcId="162913"/>
</workbook>
</file>

<file path=xl/calcChain.xml><?xml version="1.0" encoding="utf-8"?>
<calcChain xmlns="http://schemas.openxmlformats.org/spreadsheetml/2006/main">
  <c r="A1" i="32" l="1"/>
  <c r="A16" i="32" l="1"/>
  <c r="A15" i="32"/>
  <c r="A14" i="32"/>
  <c r="A13" i="32"/>
  <c r="A12" i="32"/>
  <c r="G27" i="43"/>
  <c r="A27" i="43"/>
  <c r="G26" i="43"/>
  <c r="A26" i="43"/>
  <c r="G25" i="43"/>
  <c r="A25" i="43"/>
  <c r="G24" i="43"/>
  <c r="A24" i="43"/>
  <c r="G23" i="43"/>
  <c r="A23" i="43"/>
  <c r="A20" i="43"/>
  <c r="G20" i="43"/>
  <c r="G19" i="43"/>
  <c r="A19" i="43"/>
  <c r="G18" i="43"/>
  <c r="A18" i="43"/>
  <c r="G41" i="43"/>
  <c r="A41" i="43"/>
  <c r="G21" i="43"/>
  <c r="G22" i="43"/>
  <c r="G13" i="43"/>
  <c r="G14" i="43"/>
  <c r="G17" i="43"/>
  <c r="G16" i="43"/>
  <c r="G15" i="43"/>
  <c r="G40" i="43"/>
  <c r="G37" i="43"/>
  <c r="G38" i="43"/>
  <c r="G39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3" i="43"/>
  <c r="G4" i="43"/>
  <c r="G5" i="43"/>
  <c r="G6" i="43"/>
  <c r="G7" i="43"/>
  <c r="G42" i="43"/>
  <c r="G9" i="43"/>
  <c r="G10" i="43"/>
  <c r="G11" i="43"/>
  <c r="G12" i="43"/>
  <c r="G28" i="43"/>
  <c r="G29" i="43"/>
  <c r="G30" i="43"/>
  <c r="G31" i="43"/>
  <c r="G32" i="43"/>
  <c r="G33" i="43"/>
  <c r="G34" i="43"/>
  <c r="G35" i="43"/>
  <c r="G36" i="43"/>
  <c r="G8" i="43"/>
  <c r="G2" i="43"/>
  <c r="A59" i="43"/>
  <c r="A60" i="43"/>
  <c r="A61" i="43"/>
  <c r="A5" i="43"/>
  <c r="A6" i="43"/>
  <c r="A7" i="43"/>
  <c r="A42" i="43"/>
  <c r="A9" i="43"/>
  <c r="A10" i="43"/>
  <c r="A11" i="43"/>
  <c r="A12" i="43"/>
  <c r="A28" i="43"/>
  <c r="A29" i="43"/>
  <c r="A30" i="43"/>
  <c r="A31" i="43"/>
  <c r="A32" i="43"/>
  <c r="A33" i="43"/>
  <c r="A34" i="43"/>
  <c r="A35" i="43"/>
  <c r="A36" i="43"/>
  <c r="A8" i="43"/>
  <c r="A21" i="43"/>
  <c r="A22" i="43"/>
  <c r="A13" i="43"/>
  <c r="A14" i="43"/>
  <c r="A17" i="43"/>
  <c r="A16" i="43"/>
  <c r="A15" i="43"/>
  <c r="A40" i="43"/>
  <c r="A37" i="43"/>
  <c r="A38" i="43"/>
  <c r="A39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4" i="43"/>
  <c r="F4" i="1"/>
  <c r="A4" i="1"/>
  <c r="A1" i="43"/>
  <c r="A29" i="32" l="1"/>
  <c r="A11" i="1" l="1"/>
  <c r="A20" i="32" l="1"/>
  <c r="C1" i="32"/>
  <c r="A1" i="2" l="1"/>
  <c r="E1" i="41" l="1"/>
  <c r="F10" i="1" l="1"/>
  <c r="A10" i="1"/>
  <c r="F8" i="1" l="1"/>
  <c r="A8" i="1"/>
  <c r="A19" i="32" l="1"/>
  <c r="A21" i="32"/>
  <c r="A31" i="32" l="1"/>
  <c r="A30" i="32"/>
  <c r="A28" i="32"/>
  <c r="A27" i="32"/>
  <c r="A26" i="32"/>
  <c r="A18" i="32"/>
  <c r="A17" i="32"/>
  <c r="F2" i="1" l="1"/>
  <c r="F3" i="1" l="1"/>
  <c r="F5" i="1"/>
  <c r="F6" i="1"/>
  <c r="F7" i="1"/>
  <c r="F9" i="1"/>
  <c r="F11" i="1"/>
  <c r="A2" i="1" l="1"/>
  <c r="A3" i="1"/>
  <c r="A5" i="1"/>
  <c r="A6" i="1"/>
  <c r="A7" i="1"/>
  <c r="A9" i="1"/>
</calcChain>
</file>

<file path=xl/comments1.xml><?xml version="1.0" encoding="utf-8"?>
<comments xmlns="http://schemas.openxmlformats.org/spreadsheetml/2006/main">
  <authors>
    <author>Administrator</author>
  </authors>
  <commentLis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字段名称,遵守数据库命名规范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字段的中文名称, 建表时作为字段注释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配置域名后不需要填写字段属性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是否为主键字段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是否要求为非空字段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字段的默认值</t>
        </r>
      </text>
    </comment>
  </commentList>
</comments>
</file>

<file path=xl/sharedStrings.xml><?xml version="1.0" encoding="utf-8"?>
<sst xmlns="http://schemas.openxmlformats.org/spreadsheetml/2006/main" count="236" uniqueCount="174">
  <si>
    <t>序号</t>
  </si>
  <si>
    <t>备注</t>
  </si>
  <si>
    <t>系统</t>
    <phoneticPr fontId="2" type="noConversion"/>
  </si>
  <si>
    <t>类型</t>
    <phoneticPr fontId="2" type="noConversion"/>
  </si>
  <si>
    <t>链接</t>
    <phoneticPr fontId="2" type="noConversion"/>
  </si>
  <si>
    <t>EOF</t>
  </si>
  <si>
    <t>序号</t>
    <phoneticPr fontId="3" type="noConversion"/>
  </si>
  <si>
    <t>字段属性</t>
    <phoneticPr fontId="3" type="noConversion"/>
  </si>
  <si>
    <t>字段中文名</t>
    <phoneticPr fontId="3" type="noConversion"/>
  </si>
  <si>
    <t>非空约束</t>
    <phoneticPr fontId="2" type="noConversion"/>
  </si>
  <si>
    <t>主键约束</t>
    <phoneticPr fontId="2" type="noConversion"/>
  </si>
  <si>
    <t>Y</t>
    <phoneticPr fontId="2" type="noConversion"/>
  </si>
  <si>
    <t>字段英文名　</t>
    <phoneticPr fontId="3" type="noConversion"/>
  </si>
  <si>
    <t>索引名　</t>
    <phoneticPr fontId="3" type="noConversion"/>
  </si>
  <si>
    <t>备注说明</t>
    <phoneticPr fontId="2" type="noConversion"/>
  </si>
  <si>
    <t>备注说明</t>
    <phoneticPr fontId="2" type="noConversion"/>
  </si>
  <si>
    <t>本系统</t>
    <phoneticPr fontId="2" type="noConversion"/>
  </si>
  <si>
    <t>控制台配置信息</t>
    <phoneticPr fontId="2" type="noConversion"/>
  </si>
  <si>
    <t>属性名称</t>
    <phoneticPr fontId="2" type="noConversion"/>
  </si>
  <si>
    <t>属性标识</t>
    <phoneticPr fontId="2" type="noConversion"/>
  </si>
  <si>
    <t>属性值</t>
    <phoneticPr fontId="2" type="noConversion"/>
  </si>
  <si>
    <t>SQL文件路径</t>
    <phoneticPr fontId="2" type="noConversion"/>
  </si>
  <si>
    <t>目录表SHEET名称</t>
    <phoneticPr fontId="2" type="noConversion"/>
  </si>
  <si>
    <t>TOC_SHEET_NAME</t>
    <phoneticPr fontId="2" type="noConversion"/>
  </si>
  <si>
    <t>目录</t>
    <phoneticPr fontId="2" type="noConversion"/>
  </si>
  <si>
    <t>单独生成的表名</t>
    <phoneticPr fontId="2" type="noConversion"/>
  </si>
  <si>
    <t>SQL_TABLE_NAME</t>
    <phoneticPr fontId="2" type="noConversion"/>
  </si>
  <si>
    <t>建表语句</t>
    <phoneticPr fontId="2" type="noConversion"/>
  </si>
  <si>
    <t>SQL_CREATE_TABLE</t>
    <phoneticPr fontId="2" type="noConversion"/>
  </si>
  <si>
    <t>建主键语句</t>
    <phoneticPr fontId="2" type="noConversion"/>
  </si>
  <si>
    <t>SQL_CREATE_PK</t>
    <phoneticPr fontId="2" type="noConversion"/>
  </si>
  <si>
    <t>建索引语句</t>
    <phoneticPr fontId="2" type="noConversion"/>
  </si>
  <si>
    <t>SQL_CREATE_INDEX</t>
    <phoneticPr fontId="2" type="noConversion"/>
  </si>
  <si>
    <t>建列标题语句</t>
    <phoneticPr fontId="2" type="noConversion"/>
  </si>
  <si>
    <t>SQL_CREATE_COMMENT</t>
    <phoneticPr fontId="2" type="noConversion"/>
  </si>
  <si>
    <t>EOF</t>
    <phoneticPr fontId="2" type="noConversion"/>
  </si>
  <si>
    <t>comment on column {tableName}.{columnName} is '{columnComment}';</t>
    <phoneticPr fontId="2" type="noConversion"/>
  </si>
  <si>
    <t>默认值</t>
    <phoneticPr fontId="2" type="noConversion"/>
  </si>
  <si>
    <t>是否唯一</t>
    <phoneticPr fontId="2" type="noConversion"/>
  </si>
  <si>
    <t>变更日期</t>
    <phoneticPr fontId="2" type="noConversion"/>
  </si>
  <si>
    <t>变更内容</t>
    <phoneticPr fontId="2" type="noConversion"/>
  </si>
  <si>
    <t>是否生成SQL</t>
    <phoneticPr fontId="2" type="noConversion"/>
  </si>
  <si>
    <t>N</t>
    <phoneticPr fontId="2" type="noConversion"/>
  </si>
  <si>
    <t>N</t>
    <phoneticPr fontId="2" type="noConversion"/>
  </si>
  <si>
    <t>控制台</t>
    <phoneticPr fontId="2" type="noConversion"/>
  </si>
  <si>
    <t>控制台</t>
    <phoneticPr fontId="2" type="noConversion"/>
  </si>
  <si>
    <t>变更记录</t>
    <phoneticPr fontId="2" type="noConversion"/>
  </si>
  <si>
    <t>变更记录</t>
    <phoneticPr fontId="2" type="noConversion"/>
  </si>
  <si>
    <t>Y</t>
    <phoneticPr fontId="2" type="noConversion"/>
  </si>
  <si>
    <t>SQL_FILE_PATH</t>
    <phoneticPr fontId="2" type="noConversion"/>
  </si>
  <si>
    <t>模板</t>
    <phoneticPr fontId="2" type="noConversion"/>
  </si>
  <si>
    <t>模板</t>
    <phoneticPr fontId="2" type="noConversion"/>
  </si>
  <si>
    <t>建列语句</t>
    <phoneticPr fontId="2" type="noConversion"/>
  </si>
  <si>
    <t>SQL_CREATE_COLUMN</t>
    <phoneticPr fontId="2" type="noConversion"/>
  </si>
  <si>
    <t>{columnName} {columnDesc} comment '{columnComment}'</t>
    <phoneticPr fontId="2" type="noConversion"/>
  </si>
  <si>
    <t>alter table {tableName} add primary key ( {pkColumns} );</t>
    <phoneticPr fontId="2" type="noConversion"/>
  </si>
  <si>
    <t>create {indexType} {indexName} on {tableName} ( {indexColumns} );</t>
    <phoneticPr fontId="2" type="noConversion"/>
  </si>
  <si>
    <t>初稿</t>
    <phoneticPr fontId="2" type="noConversion"/>
  </si>
  <si>
    <t>系统角色表</t>
    <phoneticPr fontId="2" type="noConversion"/>
  </si>
  <si>
    <t>建表扩展语句</t>
    <phoneticPr fontId="2" type="noConversion"/>
  </si>
  <si>
    <t>auto_increment=1000</t>
    <phoneticPr fontId="2" type="noConversion"/>
  </si>
  <si>
    <t>建表语句</t>
    <phoneticPr fontId="2" type="noConversion"/>
  </si>
  <si>
    <t>公共域</t>
    <phoneticPr fontId="2" type="noConversion"/>
  </si>
  <si>
    <t>序号</t>
    <phoneticPr fontId="2" type="noConversion"/>
  </si>
  <si>
    <t>名称</t>
    <phoneticPr fontId="2" type="noConversion"/>
  </si>
  <si>
    <t>属性定义</t>
    <phoneticPr fontId="2" type="noConversion"/>
  </si>
  <si>
    <t>备注描述</t>
    <phoneticPr fontId="2" type="noConversion"/>
  </si>
  <si>
    <t>ID_自增</t>
    <phoneticPr fontId="2" type="noConversion"/>
  </si>
  <si>
    <t>bigint</t>
  </si>
  <si>
    <t>文本_255</t>
  </si>
  <si>
    <t>varchar(255)</t>
  </si>
  <si>
    <t>tinyint</t>
  </si>
  <si>
    <t>mediumint</t>
  </si>
  <si>
    <t>smallint</t>
  </si>
  <si>
    <t>字段类型属性的公共域定义(规范同类的字段的属性)</t>
    <phoneticPr fontId="2" type="noConversion"/>
  </si>
  <si>
    <t>mysql</t>
  </si>
  <si>
    <t>decimal(18,2)</t>
    <phoneticPr fontId="2" type="noConversion"/>
  </si>
  <si>
    <t>是否启用</t>
    <phoneticPr fontId="2" type="noConversion"/>
  </si>
  <si>
    <t>D:\data\tables.sql</t>
    <phoneticPr fontId="2" type="noConversion"/>
  </si>
  <si>
    <t>id_auto</t>
    <phoneticPr fontId="2" type="noConversion"/>
  </si>
  <si>
    <t>bigint auto_increment</t>
    <phoneticPr fontId="2" type="noConversion"/>
  </si>
  <si>
    <t>id_uuid</t>
    <phoneticPr fontId="2" type="noConversion"/>
  </si>
  <si>
    <t>varchar(36)</t>
    <phoneticPr fontId="2" type="noConversion"/>
  </si>
  <si>
    <t>id_uuid_hex</t>
    <phoneticPr fontId="2" type="noConversion"/>
  </si>
  <si>
    <t>varchar(32)</t>
    <phoneticPr fontId="2" type="noConversion"/>
  </si>
  <si>
    <t>id_auto_ref</t>
    <phoneticPr fontId="2" type="noConversion"/>
  </si>
  <si>
    <t>bigint</t>
    <phoneticPr fontId="2" type="noConversion"/>
  </si>
  <si>
    <t>bool</t>
    <phoneticPr fontId="2" type="noConversion"/>
  </si>
  <si>
    <t>tinyint(1)</t>
    <phoneticPr fontId="2" type="noConversion"/>
  </si>
  <si>
    <t>date</t>
    <phoneticPr fontId="2" type="noConversion"/>
  </si>
  <si>
    <t>time</t>
    <phoneticPr fontId="2" type="noConversion"/>
  </si>
  <si>
    <t>time</t>
    <phoneticPr fontId="2" type="noConversion"/>
  </si>
  <si>
    <t>timestamp</t>
    <phoneticPr fontId="2" type="noConversion"/>
  </si>
  <si>
    <t>datetime</t>
    <phoneticPr fontId="2" type="noConversion"/>
  </si>
  <si>
    <t>byte</t>
    <phoneticPr fontId="2" type="noConversion"/>
  </si>
  <si>
    <t>[-128,128)</t>
    <phoneticPr fontId="2" type="noConversion"/>
  </si>
  <si>
    <t>int</t>
    <phoneticPr fontId="2" type="noConversion"/>
  </si>
  <si>
    <t>[-2^31,2^31)</t>
    <phoneticPr fontId="2" type="noConversion"/>
  </si>
  <si>
    <t>short</t>
    <phoneticPr fontId="2" type="noConversion"/>
  </si>
  <si>
    <t>[-2^15,2^15)</t>
    <phoneticPr fontId="2" type="noConversion"/>
  </si>
  <si>
    <t>int_medium</t>
    <phoneticPr fontId="2" type="noConversion"/>
  </si>
  <si>
    <t>[-2^23,2^23)</t>
    <phoneticPr fontId="2" type="noConversion"/>
  </si>
  <si>
    <t>long</t>
    <phoneticPr fontId="2" type="noConversion"/>
  </si>
  <si>
    <t>[-2^63,2^63)</t>
    <phoneticPr fontId="2" type="noConversion"/>
  </si>
  <si>
    <t>text</t>
    <phoneticPr fontId="2" type="noConversion"/>
  </si>
  <si>
    <t>text</t>
    <phoneticPr fontId="2" type="noConversion"/>
  </si>
  <si>
    <t>大文本_标准</t>
    <phoneticPr fontId="2" type="noConversion"/>
  </si>
  <si>
    <t>大文本_标准</t>
    <phoneticPr fontId="2" type="noConversion"/>
  </si>
  <si>
    <t>text_std</t>
    <phoneticPr fontId="2" type="noConversion"/>
  </si>
  <si>
    <t>text_tiny</t>
    <phoneticPr fontId="2" type="noConversion"/>
  </si>
  <si>
    <t>tinytext</t>
    <phoneticPr fontId="2" type="noConversion"/>
  </si>
  <si>
    <t>大文本_中长</t>
    <phoneticPr fontId="2" type="noConversion"/>
  </si>
  <si>
    <t>text_medium</t>
    <phoneticPr fontId="2" type="noConversion"/>
  </si>
  <si>
    <t>mediumtext</t>
    <phoneticPr fontId="2" type="noConversion"/>
  </si>
  <si>
    <t>大文本_超长</t>
    <phoneticPr fontId="2" type="noConversion"/>
  </si>
  <si>
    <t>text_long</t>
    <phoneticPr fontId="2" type="noConversion"/>
  </si>
  <si>
    <t>longtext</t>
    <phoneticPr fontId="2" type="noConversion"/>
  </si>
  <si>
    <t>大对象_标准</t>
    <phoneticPr fontId="2" type="noConversion"/>
  </si>
  <si>
    <t>大对象_标准</t>
    <phoneticPr fontId="2" type="noConversion"/>
  </si>
  <si>
    <t>blob</t>
    <phoneticPr fontId="2" type="noConversion"/>
  </si>
  <si>
    <t>blob</t>
    <phoneticPr fontId="2" type="noConversion"/>
  </si>
  <si>
    <t>blob_std</t>
    <phoneticPr fontId="2" type="noConversion"/>
  </si>
  <si>
    <t>大对象_短</t>
    <phoneticPr fontId="2" type="noConversion"/>
  </si>
  <si>
    <t>blob_tiny</t>
    <phoneticPr fontId="2" type="noConversion"/>
  </si>
  <si>
    <t>tinyblob</t>
    <phoneticPr fontId="2" type="noConversion"/>
  </si>
  <si>
    <t>大对象_中长</t>
    <phoneticPr fontId="2" type="noConversion"/>
  </si>
  <si>
    <t>blob_medium</t>
    <phoneticPr fontId="2" type="noConversion"/>
  </si>
  <si>
    <t>mediumblob</t>
    <phoneticPr fontId="2" type="noConversion"/>
  </si>
  <si>
    <t>大对象_超长</t>
    <phoneticPr fontId="2" type="noConversion"/>
  </si>
  <si>
    <t>blob_long</t>
    <phoneticPr fontId="2" type="noConversion"/>
  </si>
  <si>
    <t>longblob</t>
    <phoneticPr fontId="2" type="noConversion"/>
  </si>
  <si>
    <t>varchar_32</t>
    <phoneticPr fontId="2" type="noConversion"/>
  </si>
  <si>
    <t>文本_32</t>
    <phoneticPr fontId="2" type="noConversion"/>
  </si>
  <si>
    <t>varchar_64</t>
    <phoneticPr fontId="2" type="noConversion"/>
  </si>
  <si>
    <t>varchar(64)</t>
    <phoneticPr fontId="2" type="noConversion"/>
  </si>
  <si>
    <t>文本_64</t>
    <phoneticPr fontId="2" type="noConversion"/>
  </si>
  <si>
    <t>varchar_238</t>
    <phoneticPr fontId="2" type="noConversion"/>
  </si>
  <si>
    <t>varchar(128)</t>
    <phoneticPr fontId="2" type="noConversion"/>
  </si>
  <si>
    <t>文本_128</t>
    <phoneticPr fontId="2" type="noConversion"/>
  </si>
  <si>
    <t>varchar_254</t>
    <phoneticPr fontId="2" type="noConversion"/>
  </si>
  <si>
    <t>varchar(254)</t>
    <phoneticPr fontId="2" type="noConversion"/>
  </si>
  <si>
    <t>文本_254</t>
    <phoneticPr fontId="2" type="noConversion"/>
  </si>
  <si>
    <t>varchar_255</t>
    <phoneticPr fontId="2" type="noConversion"/>
  </si>
  <si>
    <t>varchar_512</t>
    <phoneticPr fontId="2" type="noConversion"/>
  </si>
  <si>
    <t>varchar(512)</t>
    <phoneticPr fontId="2" type="noConversion"/>
  </si>
  <si>
    <t>文本_512</t>
    <phoneticPr fontId="2" type="noConversion"/>
  </si>
  <si>
    <t>varchar_1024</t>
    <phoneticPr fontId="2" type="noConversion"/>
  </si>
  <si>
    <t>varchar(1024)</t>
    <phoneticPr fontId="2" type="noConversion"/>
  </si>
  <si>
    <t>文本_1024</t>
    <phoneticPr fontId="2" type="noConversion"/>
  </si>
  <si>
    <t>varchar_2048</t>
    <phoneticPr fontId="2" type="noConversion"/>
  </si>
  <si>
    <t>varchar(2048)</t>
    <phoneticPr fontId="2" type="noConversion"/>
  </si>
  <si>
    <t>文本_2048</t>
    <phoneticPr fontId="2" type="noConversion"/>
  </si>
  <si>
    <t>varchar_4000</t>
    <phoneticPr fontId="2" type="noConversion"/>
  </si>
  <si>
    <t>varchar(4000)</t>
    <phoneticPr fontId="2" type="noConversion"/>
  </si>
  <si>
    <t>文本_4000</t>
    <phoneticPr fontId="2" type="noConversion"/>
  </si>
  <si>
    <t>money</t>
    <phoneticPr fontId="2" type="noConversion"/>
  </si>
  <si>
    <t>decimal(10,2)</t>
    <phoneticPr fontId="2" type="noConversion"/>
  </si>
  <si>
    <t>money_medium</t>
    <phoneticPr fontId="2" type="noConversion"/>
  </si>
  <si>
    <t>money_big</t>
    <phoneticPr fontId="2" type="noConversion"/>
  </si>
  <si>
    <t>decimal(22,2)</t>
    <phoneticPr fontId="2" type="noConversion"/>
  </si>
  <si>
    <t>sex</t>
    <phoneticPr fontId="2" type="noConversion"/>
  </si>
  <si>
    <t>enum('male','female')</t>
    <phoneticPr fontId="2" type="noConversion"/>
  </si>
  <si>
    <t>create_time</t>
    <phoneticPr fontId="2" type="noConversion"/>
  </si>
  <si>
    <t>timestamp default current_timestamp</t>
    <phoneticPr fontId="2" type="noConversion"/>
  </si>
  <si>
    <t>update_time</t>
    <phoneticPr fontId="2" type="noConversion"/>
  </si>
  <si>
    <t>timestamp default current_timestamp on update current_timestamp</t>
    <phoneticPr fontId="2" type="noConversion"/>
  </si>
  <si>
    <t>mysql</t>
    <phoneticPr fontId="2" type="noConversion"/>
  </si>
  <si>
    <t>表名(中文)</t>
    <phoneticPr fontId="2" type="noConversion"/>
  </si>
  <si>
    <t>表名</t>
    <phoneticPr fontId="2" type="noConversion"/>
  </si>
  <si>
    <t>drop table if exists {tableName} cascade;
create table {tableName}
({tableColumns}
)
engine=Innodb default charset=utf8mb4 comment '{tableComment}' {extendSql};</t>
    <phoneticPr fontId="2" type="noConversion"/>
  </si>
  <si>
    <t>字段列表</t>
    <phoneticPr fontId="3" type="noConversion"/>
  </si>
  <si>
    <r>
      <t xml:space="preserve">drop table {tableName} cascade constraint;
create table {tableName}
({tableColumns}) tablespace </t>
    </r>
    <r>
      <rPr>
        <sz val="10"/>
        <color theme="1"/>
        <rFont val="宋体"/>
        <family val="2"/>
        <scheme val="minor"/>
      </rPr>
      <t>tbs_ncmis_main</t>
    </r>
    <r>
      <rPr>
        <sz val="10"/>
        <color theme="1"/>
        <rFont val="宋体"/>
        <family val="2"/>
        <scheme val="minor"/>
      </rPr>
      <t>;
comment on table {tableName} is '{tableComment}';</t>
    </r>
    <phoneticPr fontId="2" type="noConversion"/>
  </si>
  <si>
    <r>
      <t xml:space="preserve">alter table {tableName} add constraints pk_{tableName} primary key ( {pkColumns} ) using index tablespace </t>
    </r>
    <r>
      <rPr>
        <sz val="10"/>
        <color theme="1"/>
        <rFont val="宋体"/>
        <family val="2"/>
        <scheme val="minor"/>
      </rPr>
      <t>tbs_ncmis_index</t>
    </r>
    <r>
      <rPr>
        <sz val="10"/>
        <color theme="1"/>
        <rFont val="宋体"/>
        <family val="2"/>
        <scheme val="minor"/>
      </rPr>
      <t>;</t>
    </r>
    <phoneticPr fontId="2" type="noConversion"/>
  </si>
  <si>
    <r>
      <t xml:space="preserve">create {indexType} {indexName} on {tableName} ( {indexColumns} ) tablespace </t>
    </r>
    <r>
      <rPr>
        <sz val="10"/>
        <color theme="1"/>
        <rFont val="宋体"/>
        <family val="2"/>
        <scheme val="minor"/>
      </rPr>
      <t>tbs_ncmis_index</t>
    </r>
    <r>
      <rPr>
        <sz val="10"/>
        <color theme="1"/>
        <rFont val="宋体"/>
        <family val="2"/>
        <scheme val="minor"/>
      </rPr>
      <t>;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</si>
</sst>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10"/>
      <color indexed="8"/>
      <name val="宋体"/>
      <family val="3"/>
      <charset val="134"/>
    </font>
    <font>
      <u/>
      <sz val="10"/>
      <color indexed="12"/>
      <name val="宋体"/>
      <family val="3"/>
      <charset val="134"/>
    </font>
    <font>
      <b/>
      <sz val="9"/>
      <color rgb="FF00B0F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color rgb="FFFF0000"/>
      <name val="宋体"/>
      <family val="3"/>
      <charset val="134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2"/>
      <scheme val="minor"/>
    </font>
    <font>
      <u/>
      <sz val="9"/>
      <color indexed="12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/>
  </cellStyleXfs>
  <cellXfs count="100">
    <xf numFmtId="0" fontId="0" fillId="0" borderId="0" xfId="0"/>
    <xf numFmtId="49" fontId="1" fillId="0" borderId="0" xfId="1" applyNumberFormat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4" fillId="0" borderId="2" xfId="1" quotePrefix="1" applyNumberFormat="1" applyFont="1" applyFill="1" applyBorder="1" applyAlignment="1">
      <alignment horizontal="left" vertical="center"/>
    </xf>
    <xf numFmtId="0" fontId="0" fillId="0" borderId="0" xfId="0" applyAlignment="1"/>
    <xf numFmtId="0" fontId="1" fillId="0" borderId="0" xfId="1">
      <alignment vertical="center"/>
    </xf>
    <xf numFmtId="49" fontId="5" fillId="0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quotePrefix="1" applyFont="1" applyBorder="1" applyAlignment="1">
      <alignment horizontal="center" vertical="center"/>
    </xf>
    <xf numFmtId="0" fontId="11" fillId="0" borderId="0" xfId="1" applyFo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8" fillId="0" borderId="0" xfId="2" applyFont="1" applyAlignment="1">
      <alignment horizontal="left" vertical="center"/>
    </xf>
    <xf numFmtId="0" fontId="12" fillId="0" borderId="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49" fontId="7" fillId="2" borderId="3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wrapText="1"/>
    </xf>
    <xf numFmtId="0" fontId="0" fillId="0" borderId="0" xfId="0" applyAlignment="1">
      <alignment vertical="center"/>
    </xf>
    <xf numFmtId="49" fontId="4" fillId="0" borderId="2" xfId="1" applyNumberFormat="1" applyFont="1" applyFill="1" applyBorder="1" applyAlignment="1">
      <alignment horizontal="center" vertical="center"/>
    </xf>
    <xf numFmtId="49" fontId="14" fillId="0" borderId="2" xfId="1" applyNumberFormat="1" applyFont="1" applyFill="1" applyBorder="1" applyAlignment="1">
      <alignment horizontal="center" vertical="center"/>
    </xf>
    <xf numFmtId="49" fontId="5" fillId="0" borderId="1" xfId="1" applyNumberFormat="1" applyFont="1" applyFill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/>
    </xf>
    <xf numFmtId="14" fontId="12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/>
    </xf>
    <xf numFmtId="0" fontId="19" fillId="0" borderId="0" xfId="2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18" fillId="6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top" wrapText="1"/>
    </xf>
    <xf numFmtId="0" fontId="21" fillId="0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top"/>
    </xf>
    <xf numFmtId="0" fontId="21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top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top"/>
    </xf>
    <xf numFmtId="0" fontId="15" fillId="0" borderId="1" xfId="0" applyFont="1" applyBorder="1" applyAlignment="1">
      <alignment horizontal="left" vertical="top" wrapText="1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center"/>
    </xf>
    <xf numFmtId="0" fontId="15" fillId="0" borderId="1" xfId="0" applyFont="1" applyBorder="1" applyAlignment="1">
      <alignment horizontal="left" vertical="top"/>
    </xf>
    <xf numFmtId="0" fontId="12" fillId="0" borderId="1" xfId="0" applyNumberFormat="1" applyFont="1" applyBorder="1" applyAlignment="1">
      <alignment horizontal="center" vertical="center"/>
    </xf>
    <xf numFmtId="0" fontId="0" fillId="0" borderId="0" xfId="0" applyProtection="1">
      <protection hidden="1"/>
    </xf>
    <xf numFmtId="0" fontId="12" fillId="0" borderId="0" xfId="0" applyFont="1" applyBorder="1" applyAlignment="1">
      <alignment horizontal="left" vertical="top" wrapText="1"/>
    </xf>
    <xf numFmtId="0" fontId="12" fillId="0" borderId="1" xfId="0" quotePrefix="1" applyFont="1" applyBorder="1" applyAlignment="1">
      <alignment horizontal="left" vertical="top" wrapText="1"/>
    </xf>
    <xf numFmtId="0" fontId="12" fillId="7" borderId="1" xfId="0" applyFont="1" applyFill="1" applyBorder="1" applyAlignment="1">
      <alignment horizontal="left" vertical="top" wrapText="1"/>
    </xf>
    <xf numFmtId="0" fontId="15" fillId="8" borderId="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left" vertical="top" wrapText="1"/>
    </xf>
    <xf numFmtId="0" fontId="6" fillId="0" borderId="0" xfId="2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top"/>
    </xf>
    <xf numFmtId="0" fontId="12" fillId="0" borderId="5" xfId="0" applyFont="1" applyBorder="1" applyAlignment="1">
      <alignment horizontal="left" vertical="top"/>
    </xf>
    <xf numFmtId="0" fontId="12" fillId="0" borderId="6" xfId="0" applyFont="1" applyBorder="1" applyAlignment="1">
      <alignment horizontal="left" vertical="top"/>
    </xf>
    <xf numFmtId="0" fontId="12" fillId="0" borderId="7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8" xfId="0" applyFont="1" applyBorder="1" applyAlignment="1">
      <alignment horizontal="left" vertical="top"/>
    </xf>
    <xf numFmtId="0" fontId="12" fillId="0" borderId="9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12" fillId="0" borderId="11" xfId="0" applyFont="1" applyBorder="1" applyAlignment="1">
      <alignment horizontal="left" vertical="top"/>
    </xf>
    <xf numFmtId="0" fontId="10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top"/>
    </xf>
    <xf numFmtId="0" fontId="17" fillId="0" borderId="5" xfId="0" applyFont="1" applyBorder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horizontal="left" vertical="top"/>
    </xf>
    <xf numFmtId="0" fontId="17" fillId="0" borderId="11" xfId="0" applyFont="1" applyBorder="1" applyAlignment="1">
      <alignment horizontal="left" vertical="top"/>
    </xf>
    <xf numFmtId="0" fontId="12" fillId="6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13" xfId="0" applyFont="1" applyBorder="1" applyAlignment="1">
      <alignment horizontal="left" vertical="center"/>
    </xf>
  </cellXfs>
  <cellStyles count="4">
    <cellStyle name="Normal 2" xfId="3"/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Medium9"/>
  <colors>
    <mruColors>
      <color rgb="FF6AF070"/>
      <color rgb="FFF8C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3</xdr:row>
          <xdr:rowOff>0</xdr:rowOff>
        </xdr:from>
        <xdr:to>
          <xdr:col>5</xdr:col>
          <xdr:colOff>762000</xdr:colOff>
          <xdr:row>5</xdr:row>
          <xdr:rowOff>9525</xdr:rowOff>
        </xdr:to>
        <xdr:sp macro="" textlink="">
          <xdr:nvSpPr>
            <xdr:cNvPr id="19457" name="生成所有表的SQ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5</xdr:row>
          <xdr:rowOff>247650</xdr:rowOff>
        </xdr:from>
        <xdr:to>
          <xdr:col>5</xdr:col>
          <xdr:colOff>762000</xdr:colOff>
          <xdr:row>5</xdr:row>
          <xdr:rowOff>561975</xdr:rowOff>
        </xdr:to>
        <xdr:sp macro="" textlink="">
          <xdr:nvSpPr>
            <xdr:cNvPr id="19458" name="生成指定表的SQL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1"/>
  <sheetViews>
    <sheetView workbookViewId="0">
      <selection activeCell="C39" sqref="C39"/>
    </sheetView>
  </sheetViews>
  <sheetFormatPr defaultRowHeight="13.5" x14ac:dyDescent="0.15"/>
  <cols>
    <col min="1" max="1" width="7.75" customWidth="1"/>
    <col min="2" max="2" width="16.375" customWidth="1"/>
    <col min="3" max="3" width="34.125" customWidth="1"/>
    <col min="4" max="4" width="42.125" customWidth="1"/>
    <col min="5" max="5" width="12.75" bestFit="1" customWidth="1"/>
    <col min="6" max="6" width="21.5" customWidth="1"/>
    <col min="7" max="7" width="26.125" style="64" customWidth="1"/>
  </cols>
  <sheetData>
    <row r="1" spans="1:8" x14ac:dyDescent="0.15">
      <c r="A1" s="19" t="str">
        <f>HYPERLINK(CONCATENATE("#'目录'!D",MATCH(B1,目录!D:D,0)),"返回")</f>
        <v>返回</v>
      </c>
      <c r="B1" s="21" t="s">
        <v>62</v>
      </c>
    </row>
    <row r="2" spans="1:8" x14ac:dyDescent="0.15">
      <c r="A2" s="73" t="s">
        <v>74</v>
      </c>
      <c r="B2" s="73"/>
      <c r="C2" s="73"/>
      <c r="D2" s="73"/>
      <c r="F2" s="65" t="s">
        <v>67</v>
      </c>
      <c r="G2" s="65" t="str">
        <f>IFERROR(INDEX(公共域!$C:$C,MATCH(F2,公共域!$B:$B,0)),"")</f>
        <v/>
      </c>
      <c r="H2" s="65"/>
    </row>
    <row r="3" spans="1:8" x14ac:dyDescent="0.15">
      <c r="A3" s="68" t="s">
        <v>63</v>
      </c>
      <c r="B3" s="69" t="s">
        <v>64</v>
      </c>
      <c r="C3" s="69" t="s">
        <v>65</v>
      </c>
      <c r="D3" s="69" t="s">
        <v>66</v>
      </c>
      <c r="F3" s="65"/>
      <c r="G3" s="65" t="str">
        <f>IFERROR(INDEX(公共域!$C:$C,MATCH(F3,公共域!$B:$B,0)),"")</f>
        <v/>
      </c>
      <c r="H3" s="65"/>
    </row>
    <row r="4" spans="1:8" x14ac:dyDescent="0.15">
      <c r="A4" s="63">
        <f>ROW()-ROW($A$3)</f>
        <v>1</v>
      </c>
      <c r="B4" s="41" t="s">
        <v>79</v>
      </c>
      <c r="C4" s="41" t="s">
        <v>80</v>
      </c>
      <c r="D4" s="41" t="s">
        <v>75</v>
      </c>
      <c r="F4" s="65"/>
      <c r="G4" s="65" t="str">
        <f>IFERROR(INDEX(公共域!$C:$C,MATCH(F4,公共域!$B:$B,0)),"")</f>
        <v/>
      </c>
      <c r="H4" s="65"/>
    </row>
    <row r="5" spans="1:8" x14ac:dyDescent="0.15">
      <c r="A5" s="63">
        <f t="shared" ref="A5:A61" si="0">ROW()-ROW($A$3)</f>
        <v>2</v>
      </c>
      <c r="B5" s="41" t="s">
        <v>81</v>
      </c>
      <c r="C5" s="41" t="s">
        <v>82</v>
      </c>
      <c r="D5" s="41"/>
      <c r="F5" s="65"/>
      <c r="G5" s="65" t="str">
        <f>IFERROR(INDEX(公共域!$C:$C,MATCH(F5,公共域!$B:$B,0)),"")</f>
        <v/>
      </c>
      <c r="H5" s="65"/>
    </row>
    <row r="6" spans="1:8" x14ac:dyDescent="0.15">
      <c r="A6" s="63">
        <f t="shared" si="0"/>
        <v>3</v>
      </c>
      <c r="B6" s="41" t="s">
        <v>83</v>
      </c>
      <c r="C6" s="41" t="s">
        <v>84</v>
      </c>
      <c r="D6" s="41"/>
      <c r="F6" s="65"/>
      <c r="G6" s="65" t="str">
        <f>IFERROR(INDEX(公共域!$C:$C,MATCH(F6,公共域!$B:$B,0)),"")</f>
        <v/>
      </c>
      <c r="H6" s="65"/>
    </row>
    <row r="7" spans="1:8" x14ac:dyDescent="0.15">
      <c r="A7" s="63">
        <f t="shared" si="0"/>
        <v>4</v>
      </c>
      <c r="B7" s="41" t="s">
        <v>85</v>
      </c>
      <c r="C7" s="41" t="s">
        <v>86</v>
      </c>
      <c r="D7" s="41" t="s">
        <v>75</v>
      </c>
      <c r="F7" s="65"/>
      <c r="G7" s="65" t="str">
        <f>IFERROR(INDEX(公共域!$C:$C,MATCH(F7,公共域!$B:$B,0)),"")</f>
        <v/>
      </c>
      <c r="H7" s="65"/>
    </row>
    <row r="8" spans="1:8" x14ac:dyDescent="0.15">
      <c r="A8" s="63">
        <f t="shared" si="0"/>
        <v>5</v>
      </c>
      <c r="B8" s="41" t="s">
        <v>87</v>
      </c>
      <c r="C8" s="41" t="s">
        <v>88</v>
      </c>
      <c r="D8" s="41" t="s">
        <v>75</v>
      </c>
      <c r="G8" s="65" t="str">
        <f>IFERROR(INDEX(公共域!$C:$C,MATCH(F8,公共域!$B:$B,0)),"")</f>
        <v/>
      </c>
    </row>
    <row r="9" spans="1:8" x14ac:dyDescent="0.15">
      <c r="A9" s="63">
        <f t="shared" si="0"/>
        <v>6</v>
      </c>
      <c r="B9" s="41" t="s">
        <v>89</v>
      </c>
      <c r="C9" s="41" t="s">
        <v>89</v>
      </c>
      <c r="D9" s="41"/>
      <c r="F9" s="65"/>
      <c r="G9" s="65" t="str">
        <f>IFERROR(INDEX(公共域!$C:$C,MATCH(F9,公共域!$B:$B,0)),"")</f>
        <v/>
      </c>
      <c r="H9" s="65"/>
    </row>
    <row r="10" spans="1:8" x14ac:dyDescent="0.15">
      <c r="A10" s="63">
        <f t="shared" si="0"/>
        <v>7</v>
      </c>
      <c r="B10" s="41" t="s">
        <v>91</v>
      </c>
      <c r="C10" s="41" t="s">
        <v>90</v>
      </c>
      <c r="D10" s="41"/>
      <c r="F10" s="65"/>
      <c r="G10" s="65" t="str">
        <f>IFERROR(INDEX(公共域!$C:$C,MATCH(F10,公共域!$B:$B,0)),"")</f>
        <v/>
      </c>
      <c r="H10" s="65"/>
    </row>
    <row r="11" spans="1:8" x14ac:dyDescent="0.15">
      <c r="A11" s="63">
        <f t="shared" si="0"/>
        <v>8</v>
      </c>
      <c r="B11" s="41" t="s">
        <v>92</v>
      </c>
      <c r="C11" s="41" t="s">
        <v>92</v>
      </c>
      <c r="D11" s="41"/>
      <c r="G11" s="65" t="str">
        <f>IFERROR(INDEX(公共域!$C:$C,MATCH(F11,公共域!$B:$B,0)),"")</f>
        <v/>
      </c>
    </row>
    <row r="12" spans="1:8" x14ac:dyDescent="0.15">
      <c r="A12" s="63">
        <f t="shared" si="0"/>
        <v>9</v>
      </c>
      <c r="B12" s="41" t="s">
        <v>93</v>
      </c>
      <c r="C12" s="41" t="s">
        <v>93</v>
      </c>
      <c r="D12" s="41"/>
      <c r="G12" s="65" t="str">
        <f>IFERROR(INDEX(公共域!$C:$C,MATCH(F12,公共域!$B:$B,0)),"")</f>
        <v/>
      </c>
    </row>
    <row r="13" spans="1:8" x14ac:dyDescent="0.15">
      <c r="A13" s="63">
        <f t="shared" si="0"/>
        <v>10</v>
      </c>
      <c r="B13" s="41" t="s">
        <v>94</v>
      </c>
      <c r="C13" s="41" t="s">
        <v>71</v>
      </c>
      <c r="D13" s="66" t="s">
        <v>95</v>
      </c>
      <c r="G13" s="65" t="str">
        <f>IFERROR(INDEX(公共域!$C:$C,MATCH(F13,公共域!$B:$B,0)),"")</f>
        <v/>
      </c>
    </row>
    <row r="14" spans="1:8" x14ac:dyDescent="0.15">
      <c r="A14" s="63">
        <f t="shared" si="0"/>
        <v>11</v>
      </c>
      <c r="B14" s="41" t="s">
        <v>96</v>
      </c>
      <c r="C14" s="41" t="s">
        <v>96</v>
      </c>
      <c r="D14" s="66" t="s">
        <v>97</v>
      </c>
      <c r="G14" s="65" t="str">
        <f>IFERROR(INDEX(公共域!$C:$C,MATCH(F14,公共域!$B:$B,0)),"")</f>
        <v/>
      </c>
    </row>
    <row r="15" spans="1:8" x14ac:dyDescent="0.15">
      <c r="A15" s="63">
        <f t="shared" si="0"/>
        <v>12</v>
      </c>
      <c r="B15" s="41" t="s">
        <v>98</v>
      </c>
      <c r="C15" s="41" t="s">
        <v>73</v>
      </c>
      <c r="D15" s="66" t="s">
        <v>99</v>
      </c>
      <c r="G15" s="65" t="str">
        <f>IFERROR(INDEX(公共域!$C:$C,MATCH(F15,公共域!$B:$B,0)),"")</f>
        <v/>
      </c>
    </row>
    <row r="16" spans="1:8" x14ac:dyDescent="0.15">
      <c r="A16" s="63">
        <f t="shared" si="0"/>
        <v>13</v>
      </c>
      <c r="B16" s="41" t="s">
        <v>100</v>
      </c>
      <c r="C16" s="41" t="s">
        <v>72</v>
      </c>
      <c r="D16" s="66" t="s">
        <v>101</v>
      </c>
      <c r="G16" s="65" t="str">
        <f>IFERROR(INDEX(公共域!$C:$C,MATCH(F16,公共域!$B:$B,0)),"")</f>
        <v/>
      </c>
    </row>
    <row r="17" spans="1:7" x14ac:dyDescent="0.15">
      <c r="A17" s="63">
        <f t="shared" si="0"/>
        <v>14</v>
      </c>
      <c r="B17" s="41" t="s">
        <v>102</v>
      </c>
      <c r="C17" s="41" t="s">
        <v>68</v>
      </c>
      <c r="D17" s="66" t="s">
        <v>103</v>
      </c>
      <c r="G17" s="65" t="str">
        <f>IFERROR(INDEX(公共域!$C:$C,MATCH(F17,公共域!$B:$B,0)),"")</f>
        <v/>
      </c>
    </row>
    <row r="18" spans="1:7" x14ac:dyDescent="0.15">
      <c r="A18" s="63">
        <f t="shared" si="0"/>
        <v>15</v>
      </c>
      <c r="B18" s="41" t="s">
        <v>104</v>
      </c>
      <c r="C18" s="41" t="s">
        <v>105</v>
      </c>
      <c r="D18" s="41" t="s">
        <v>107</v>
      </c>
      <c r="G18" s="65" t="str">
        <f>IFERROR(INDEX(公共域!$C:$C,MATCH(F18,公共域!$B:$B,0)),"")</f>
        <v/>
      </c>
    </row>
    <row r="19" spans="1:7" x14ac:dyDescent="0.15">
      <c r="A19" s="63">
        <f t="shared" si="0"/>
        <v>16</v>
      </c>
      <c r="B19" s="41" t="s">
        <v>108</v>
      </c>
      <c r="C19" s="41" t="s">
        <v>104</v>
      </c>
      <c r="D19" s="41" t="s">
        <v>106</v>
      </c>
      <c r="G19" s="65" t="str">
        <f>IFERROR(INDEX(公共域!$C:$C,MATCH(F19,公共域!$B:$B,0)),"")</f>
        <v/>
      </c>
    </row>
    <row r="20" spans="1:7" x14ac:dyDescent="0.15">
      <c r="A20" s="63">
        <f t="shared" si="0"/>
        <v>17</v>
      </c>
      <c r="B20" s="41" t="s">
        <v>109</v>
      </c>
      <c r="C20" s="41" t="s">
        <v>110</v>
      </c>
      <c r="D20" s="41" t="s">
        <v>111</v>
      </c>
      <c r="G20" s="65" t="str">
        <f>IFERROR(INDEX(公共域!$C:$C,MATCH(F20,公共域!$B:$B,0)),"")</f>
        <v/>
      </c>
    </row>
    <row r="21" spans="1:7" x14ac:dyDescent="0.15">
      <c r="A21" s="63">
        <f t="shared" si="0"/>
        <v>18</v>
      </c>
      <c r="B21" s="41" t="s">
        <v>112</v>
      </c>
      <c r="C21" s="41" t="s">
        <v>113</v>
      </c>
      <c r="D21" s="41" t="s">
        <v>114</v>
      </c>
      <c r="G21" s="65" t="str">
        <f>IFERROR(INDEX(公共域!$C:$C,MATCH(F21,公共域!$B:$B,0)),"")</f>
        <v/>
      </c>
    </row>
    <row r="22" spans="1:7" x14ac:dyDescent="0.15">
      <c r="A22" s="63">
        <f t="shared" si="0"/>
        <v>19</v>
      </c>
      <c r="B22" s="41" t="s">
        <v>115</v>
      </c>
      <c r="C22" s="41" t="s">
        <v>116</v>
      </c>
      <c r="D22" s="41" t="s">
        <v>118</v>
      </c>
      <c r="G22" s="65" t="str">
        <f>IFERROR(INDEX(公共域!$C:$C,MATCH(F22,公共域!$B:$B,0)),"")</f>
        <v/>
      </c>
    </row>
    <row r="23" spans="1:7" x14ac:dyDescent="0.15">
      <c r="A23" s="63">
        <f t="shared" si="0"/>
        <v>20</v>
      </c>
      <c r="B23" s="41" t="s">
        <v>119</v>
      </c>
      <c r="C23" s="41" t="s">
        <v>119</v>
      </c>
      <c r="D23" s="41" t="s">
        <v>117</v>
      </c>
      <c r="G23" s="65" t="str">
        <f>IFERROR(INDEX(公共域!$C:$C,MATCH(F23,公共域!$B:$B,0)),"")</f>
        <v/>
      </c>
    </row>
    <row r="24" spans="1:7" x14ac:dyDescent="0.15">
      <c r="A24" s="63">
        <f t="shared" si="0"/>
        <v>21</v>
      </c>
      <c r="B24" s="41" t="s">
        <v>121</v>
      </c>
      <c r="C24" s="41" t="s">
        <v>120</v>
      </c>
      <c r="D24" s="41" t="s">
        <v>122</v>
      </c>
      <c r="G24" s="65" t="str">
        <f>IFERROR(INDEX(公共域!$C:$C,MATCH(F24,公共域!$B:$B,0)),"")</f>
        <v/>
      </c>
    </row>
    <row r="25" spans="1:7" x14ac:dyDescent="0.15">
      <c r="A25" s="63">
        <f t="shared" si="0"/>
        <v>22</v>
      </c>
      <c r="B25" s="41" t="s">
        <v>123</v>
      </c>
      <c r="C25" s="41" t="s">
        <v>124</v>
      </c>
      <c r="D25" s="41" t="s">
        <v>125</v>
      </c>
      <c r="G25" s="65" t="str">
        <f>IFERROR(INDEX(公共域!$C:$C,MATCH(F25,公共域!$B:$B,0)),"")</f>
        <v/>
      </c>
    </row>
    <row r="26" spans="1:7" x14ac:dyDescent="0.15">
      <c r="A26" s="63">
        <f t="shared" si="0"/>
        <v>23</v>
      </c>
      <c r="B26" s="41" t="s">
        <v>126</v>
      </c>
      <c r="C26" s="41" t="s">
        <v>127</v>
      </c>
      <c r="D26" s="41" t="s">
        <v>128</v>
      </c>
      <c r="G26" s="65" t="str">
        <f>IFERROR(INDEX(公共域!$C:$C,MATCH(F26,公共域!$B:$B,0)),"")</f>
        <v/>
      </c>
    </row>
    <row r="27" spans="1:7" x14ac:dyDescent="0.15">
      <c r="A27" s="63">
        <f t="shared" si="0"/>
        <v>24</v>
      </c>
      <c r="B27" s="41" t="s">
        <v>129</v>
      </c>
      <c r="C27" s="41" t="s">
        <v>130</v>
      </c>
      <c r="D27" s="41" t="s">
        <v>128</v>
      </c>
      <c r="G27" s="65" t="str">
        <f>IFERROR(INDEX(公共域!$C:$C,MATCH(F27,公共域!$B:$B,0)),"")</f>
        <v/>
      </c>
    </row>
    <row r="28" spans="1:7" x14ac:dyDescent="0.15">
      <c r="A28" s="63">
        <f t="shared" si="0"/>
        <v>25</v>
      </c>
      <c r="B28" s="41" t="s">
        <v>131</v>
      </c>
      <c r="C28" s="41" t="s">
        <v>84</v>
      </c>
      <c r="D28" s="41" t="s">
        <v>132</v>
      </c>
      <c r="G28" s="65" t="str">
        <f>IFERROR(INDEX(公共域!$C:$C,MATCH(F28,公共域!$B:$B,0)),"")</f>
        <v/>
      </c>
    </row>
    <row r="29" spans="1:7" x14ac:dyDescent="0.15">
      <c r="A29" s="63">
        <f t="shared" si="0"/>
        <v>26</v>
      </c>
      <c r="B29" s="41" t="s">
        <v>133</v>
      </c>
      <c r="C29" s="41" t="s">
        <v>134</v>
      </c>
      <c r="D29" s="41" t="s">
        <v>135</v>
      </c>
      <c r="G29" s="65" t="str">
        <f>IFERROR(INDEX(公共域!$C:$C,MATCH(F29,公共域!$B:$B,0)),"")</f>
        <v/>
      </c>
    </row>
    <row r="30" spans="1:7" x14ac:dyDescent="0.15">
      <c r="A30" s="63">
        <f t="shared" si="0"/>
        <v>27</v>
      </c>
      <c r="B30" s="41" t="s">
        <v>136</v>
      </c>
      <c r="C30" s="41" t="s">
        <v>137</v>
      </c>
      <c r="D30" s="41" t="s">
        <v>138</v>
      </c>
      <c r="G30" s="65" t="str">
        <f>IFERROR(INDEX(公共域!$C:$C,MATCH(F30,公共域!$B:$B,0)),"")</f>
        <v/>
      </c>
    </row>
    <row r="31" spans="1:7" x14ac:dyDescent="0.15">
      <c r="A31" s="63">
        <f t="shared" si="0"/>
        <v>28</v>
      </c>
      <c r="B31" s="41" t="s">
        <v>139</v>
      </c>
      <c r="C31" s="41" t="s">
        <v>140</v>
      </c>
      <c r="D31" s="41" t="s">
        <v>141</v>
      </c>
      <c r="G31" s="65" t="str">
        <f>IFERROR(INDEX(公共域!$C:$C,MATCH(F31,公共域!$B:$B,0)),"")</f>
        <v/>
      </c>
    </row>
    <row r="32" spans="1:7" x14ac:dyDescent="0.15">
      <c r="A32" s="63">
        <f t="shared" si="0"/>
        <v>29</v>
      </c>
      <c r="B32" s="41" t="s">
        <v>142</v>
      </c>
      <c r="C32" s="41" t="s">
        <v>70</v>
      </c>
      <c r="D32" s="41" t="s">
        <v>69</v>
      </c>
      <c r="G32" s="65" t="str">
        <f>IFERROR(INDEX(公共域!$C:$C,MATCH(F32,公共域!$B:$B,0)),"")</f>
        <v/>
      </c>
    </row>
    <row r="33" spans="1:8" x14ac:dyDescent="0.15">
      <c r="A33" s="63">
        <f t="shared" si="0"/>
        <v>30</v>
      </c>
      <c r="B33" s="41" t="s">
        <v>143</v>
      </c>
      <c r="C33" s="41" t="s">
        <v>144</v>
      </c>
      <c r="D33" s="41" t="s">
        <v>145</v>
      </c>
      <c r="G33" s="65" t="str">
        <f>IFERROR(INDEX(公共域!$C:$C,MATCH(F33,公共域!$B:$B,0)),"")</f>
        <v/>
      </c>
    </row>
    <row r="34" spans="1:8" x14ac:dyDescent="0.15">
      <c r="A34" s="63">
        <f t="shared" si="0"/>
        <v>31</v>
      </c>
      <c r="B34" s="41" t="s">
        <v>146</v>
      </c>
      <c r="C34" s="41" t="s">
        <v>147</v>
      </c>
      <c r="D34" s="41" t="s">
        <v>148</v>
      </c>
      <c r="G34" s="65" t="str">
        <f>IFERROR(INDEX(公共域!$C:$C,MATCH(F34,公共域!$B:$B,0)),"")</f>
        <v/>
      </c>
    </row>
    <row r="35" spans="1:8" x14ac:dyDescent="0.15">
      <c r="A35" s="63">
        <f t="shared" si="0"/>
        <v>32</v>
      </c>
      <c r="B35" s="41" t="s">
        <v>149</v>
      </c>
      <c r="C35" s="41" t="s">
        <v>150</v>
      </c>
      <c r="D35" s="41" t="s">
        <v>151</v>
      </c>
      <c r="G35" s="65" t="str">
        <f>IFERROR(INDEX(公共域!$C:$C,MATCH(F35,公共域!$B:$B,0)),"")</f>
        <v/>
      </c>
    </row>
    <row r="36" spans="1:8" x14ac:dyDescent="0.15">
      <c r="A36" s="63">
        <f t="shared" si="0"/>
        <v>33</v>
      </c>
      <c r="B36" s="41" t="s">
        <v>152</v>
      </c>
      <c r="C36" s="41" t="s">
        <v>153</v>
      </c>
      <c r="D36" s="41" t="s">
        <v>154</v>
      </c>
      <c r="G36" s="65" t="str">
        <f>IFERROR(INDEX(公共域!$C:$C,MATCH(F36,公共域!$B:$B,0)),"")</f>
        <v/>
      </c>
    </row>
    <row r="37" spans="1:8" x14ac:dyDescent="0.15">
      <c r="A37" s="63">
        <f t="shared" si="0"/>
        <v>34</v>
      </c>
      <c r="B37" s="67" t="s">
        <v>155</v>
      </c>
      <c r="C37" s="41" t="s">
        <v>156</v>
      </c>
      <c r="D37" s="41"/>
      <c r="G37" s="65" t="str">
        <f>IFERROR(INDEX(公共域!$C:$C,MATCH(F37,公共域!$B:$B,0)),"")</f>
        <v/>
      </c>
    </row>
    <row r="38" spans="1:8" x14ac:dyDescent="0.15">
      <c r="A38" s="63">
        <f t="shared" si="0"/>
        <v>35</v>
      </c>
      <c r="B38" s="67" t="s">
        <v>157</v>
      </c>
      <c r="C38" s="41" t="s">
        <v>76</v>
      </c>
      <c r="D38" s="41"/>
      <c r="G38" s="65" t="str">
        <f>IFERROR(INDEX(公共域!$C:$C,MATCH(F38,公共域!$B:$B,0)),"")</f>
        <v/>
      </c>
    </row>
    <row r="39" spans="1:8" x14ac:dyDescent="0.15">
      <c r="A39" s="63">
        <f t="shared" si="0"/>
        <v>36</v>
      </c>
      <c r="B39" s="67" t="s">
        <v>158</v>
      </c>
      <c r="C39" s="41" t="s">
        <v>159</v>
      </c>
      <c r="D39" s="41"/>
      <c r="G39" s="65" t="str">
        <f>IFERROR(INDEX(公共域!$C:$C,MATCH(F39,公共域!$B:$B,0)),"")</f>
        <v/>
      </c>
    </row>
    <row r="40" spans="1:8" x14ac:dyDescent="0.15">
      <c r="A40" s="63">
        <f t="shared" si="0"/>
        <v>37</v>
      </c>
      <c r="B40" s="67" t="s">
        <v>160</v>
      </c>
      <c r="C40" s="70" t="s">
        <v>161</v>
      </c>
      <c r="D40" s="41" t="s">
        <v>75</v>
      </c>
      <c r="G40" s="65" t="str">
        <f>IFERROR(INDEX(公共域!$C:$C,MATCH(F40,公共域!$B:$B,0)),"")</f>
        <v/>
      </c>
    </row>
    <row r="41" spans="1:8" x14ac:dyDescent="0.15">
      <c r="A41" s="63">
        <f t="shared" si="0"/>
        <v>38</v>
      </c>
      <c r="B41" s="67" t="s">
        <v>162</v>
      </c>
      <c r="C41" s="70" t="s">
        <v>163</v>
      </c>
      <c r="D41" s="41" t="s">
        <v>75</v>
      </c>
      <c r="F41" s="65"/>
      <c r="G41" s="65" t="str">
        <f>IFERROR(INDEX(公共域!$C:$C,MATCH(F41,公共域!$B:$B,0)),"")</f>
        <v/>
      </c>
      <c r="H41" s="65"/>
    </row>
    <row r="42" spans="1:8" ht="24" x14ac:dyDescent="0.15">
      <c r="A42" s="63">
        <f t="shared" si="0"/>
        <v>39</v>
      </c>
      <c r="B42" s="67" t="s">
        <v>164</v>
      </c>
      <c r="C42" s="70" t="s">
        <v>165</v>
      </c>
      <c r="D42" s="41" t="s">
        <v>166</v>
      </c>
      <c r="F42" s="65"/>
      <c r="G42" s="65" t="str">
        <f>IFERROR(INDEX(公共域!$C:$C,MATCH(F42,公共域!$B:$B,0)),"")</f>
        <v/>
      </c>
      <c r="H42" s="65"/>
    </row>
    <row r="43" spans="1:8" x14ac:dyDescent="0.15">
      <c r="A43" s="63">
        <f t="shared" si="0"/>
        <v>40</v>
      </c>
      <c r="B43" s="41"/>
      <c r="C43" s="41"/>
      <c r="D43" s="41"/>
      <c r="G43" s="65" t="str">
        <f>IFERROR(INDEX(公共域!$C:$C,MATCH(F43,公共域!$B:$B,0)),"")</f>
        <v/>
      </c>
    </row>
    <row r="44" spans="1:8" x14ac:dyDescent="0.15">
      <c r="A44" s="63">
        <f t="shared" si="0"/>
        <v>41</v>
      </c>
      <c r="B44" s="41"/>
      <c r="C44" s="41"/>
      <c r="D44" s="41"/>
      <c r="G44" s="65" t="str">
        <f>IFERROR(INDEX(公共域!$C:$C,MATCH(F44,公共域!$B:$B,0)),"")</f>
        <v/>
      </c>
    </row>
    <row r="45" spans="1:8" x14ac:dyDescent="0.15">
      <c r="A45" s="63">
        <f t="shared" si="0"/>
        <v>42</v>
      </c>
      <c r="B45" s="41"/>
      <c r="C45" s="41"/>
      <c r="D45" s="41"/>
      <c r="G45" s="65" t="str">
        <f>IFERROR(INDEX(公共域!$C:$C,MATCH(F45,公共域!$B:$B,0)),"")</f>
        <v/>
      </c>
    </row>
    <row r="46" spans="1:8" x14ac:dyDescent="0.15">
      <c r="A46" s="63">
        <f t="shared" si="0"/>
        <v>43</v>
      </c>
      <c r="B46" s="41"/>
      <c r="C46" s="41"/>
      <c r="D46" s="41"/>
      <c r="G46" s="65" t="str">
        <f>IFERROR(INDEX(公共域!$C:$C,MATCH(F46,公共域!$B:$B,0)),"")</f>
        <v/>
      </c>
    </row>
    <row r="47" spans="1:8" x14ac:dyDescent="0.15">
      <c r="A47" s="63">
        <f t="shared" si="0"/>
        <v>44</v>
      </c>
      <c r="B47" s="41"/>
      <c r="C47" s="41"/>
      <c r="D47" s="41"/>
      <c r="G47" s="65" t="str">
        <f>IFERROR(INDEX(公共域!$C:$C,MATCH(F47,公共域!$B:$B,0)),"")</f>
        <v/>
      </c>
    </row>
    <row r="48" spans="1:8" x14ac:dyDescent="0.15">
      <c r="A48" s="63">
        <f t="shared" si="0"/>
        <v>45</v>
      </c>
      <c r="B48" s="41"/>
      <c r="C48" s="41"/>
      <c r="D48" s="41"/>
      <c r="G48" s="65" t="str">
        <f>IFERROR(INDEX(公共域!$C:$C,MATCH(F48,公共域!$B:$B,0)),"")</f>
        <v/>
      </c>
    </row>
    <row r="49" spans="1:7" x14ac:dyDescent="0.15">
      <c r="A49" s="63">
        <f t="shared" si="0"/>
        <v>46</v>
      </c>
      <c r="B49" s="41"/>
      <c r="C49" s="41"/>
      <c r="D49" s="41"/>
      <c r="G49" s="65" t="str">
        <f>IFERROR(INDEX(公共域!$C:$C,MATCH(F49,公共域!$B:$B,0)),"")</f>
        <v/>
      </c>
    </row>
    <row r="50" spans="1:7" x14ac:dyDescent="0.15">
      <c r="A50" s="63">
        <f t="shared" si="0"/>
        <v>47</v>
      </c>
      <c r="B50" s="41"/>
      <c r="C50" s="41"/>
      <c r="D50" s="41"/>
      <c r="G50" s="65" t="str">
        <f>IFERROR(INDEX(公共域!$C:$C,MATCH(F50,公共域!$B:$B,0)),"")</f>
        <v/>
      </c>
    </row>
    <row r="51" spans="1:7" x14ac:dyDescent="0.15">
      <c r="A51" s="63">
        <f t="shared" si="0"/>
        <v>48</v>
      </c>
      <c r="B51" s="41"/>
      <c r="C51" s="41"/>
      <c r="D51" s="41"/>
      <c r="G51" s="65" t="str">
        <f>IFERROR(INDEX(公共域!$C:$C,MATCH(F51,公共域!$B:$B,0)),"")</f>
        <v/>
      </c>
    </row>
    <row r="52" spans="1:7" x14ac:dyDescent="0.15">
      <c r="A52" s="63">
        <f t="shared" si="0"/>
        <v>49</v>
      </c>
      <c r="B52" s="41"/>
      <c r="C52" s="41"/>
      <c r="D52" s="41"/>
      <c r="G52" s="65" t="str">
        <f>IFERROR(INDEX(公共域!$C:$C,MATCH(F52,公共域!$B:$B,0)),"")</f>
        <v/>
      </c>
    </row>
    <row r="53" spans="1:7" x14ac:dyDescent="0.15">
      <c r="A53" s="63">
        <f t="shared" si="0"/>
        <v>50</v>
      </c>
      <c r="B53" s="41"/>
      <c r="C53" s="41"/>
      <c r="D53" s="41"/>
      <c r="G53" s="65" t="str">
        <f>IFERROR(INDEX(公共域!$C:$C,MATCH(F53,公共域!$B:$B,0)),"")</f>
        <v/>
      </c>
    </row>
    <row r="54" spans="1:7" x14ac:dyDescent="0.15">
      <c r="A54" s="63">
        <f t="shared" si="0"/>
        <v>51</v>
      </c>
      <c r="B54" s="41"/>
      <c r="C54" s="41"/>
      <c r="D54" s="41"/>
      <c r="G54" s="65" t="str">
        <f>IFERROR(INDEX(公共域!$C:$C,MATCH(F54,公共域!$B:$B,0)),"")</f>
        <v/>
      </c>
    </row>
    <row r="55" spans="1:7" x14ac:dyDescent="0.15">
      <c r="A55" s="63">
        <f t="shared" si="0"/>
        <v>52</v>
      </c>
      <c r="B55" s="41"/>
      <c r="C55" s="41"/>
      <c r="D55" s="41"/>
      <c r="G55" s="65" t="str">
        <f>IFERROR(INDEX(公共域!$C:$C,MATCH(F55,公共域!$B:$B,0)),"")</f>
        <v/>
      </c>
    </row>
    <row r="56" spans="1:7" x14ac:dyDescent="0.15">
      <c r="A56" s="63">
        <f t="shared" si="0"/>
        <v>53</v>
      </c>
      <c r="B56" s="41"/>
      <c r="C56" s="41"/>
      <c r="D56" s="41"/>
      <c r="G56" s="65" t="str">
        <f>IFERROR(INDEX(公共域!$C:$C,MATCH(F56,公共域!$B:$B,0)),"")</f>
        <v/>
      </c>
    </row>
    <row r="57" spans="1:7" x14ac:dyDescent="0.15">
      <c r="A57" s="63">
        <f t="shared" si="0"/>
        <v>54</v>
      </c>
      <c r="B57" s="41"/>
      <c r="C57" s="41"/>
      <c r="D57" s="41"/>
      <c r="G57" s="65" t="str">
        <f>IFERROR(INDEX(公共域!$C:$C,MATCH(F57,公共域!$B:$B,0)),"")</f>
        <v/>
      </c>
    </row>
    <row r="58" spans="1:7" x14ac:dyDescent="0.15">
      <c r="A58" s="63">
        <f t="shared" si="0"/>
        <v>55</v>
      </c>
      <c r="B58" s="41"/>
      <c r="C58" s="41"/>
      <c r="D58" s="41"/>
      <c r="G58" s="65" t="str">
        <f>IFERROR(INDEX(公共域!$C:$C,MATCH(F58,公共域!$B:$B,0)),"")</f>
        <v/>
      </c>
    </row>
    <row r="59" spans="1:7" x14ac:dyDescent="0.15">
      <c r="A59" s="63">
        <f t="shared" si="0"/>
        <v>56</v>
      </c>
      <c r="B59" s="41"/>
      <c r="C59" s="41"/>
      <c r="D59" s="41"/>
      <c r="G59" s="65" t="str">
        <f>IFERROR(INDEX(公共域!$C:$C,MATCH(F59,公共域!$B:$B,0)),"")</f>
        <v/>
      </c>
    </row>
    <row r="60" spans="1:7" x14ac:dyDescent="0.15">
      <c r="A60" s="63">
        <f t="shared" si="0"/>
        <v>57</v>
      </c>
      <c r="B60" s="41"/>
      <c r="C60" s="41"/>
      <c r="D60" s="41"/>
      <c r="G60" s="65" t="str">
        <f>IFERROR(INDEX(公共域!$C:$C,MATCH(F60,公共域!$B:$B,0)),"")</f>
        <v/>
      </c>
    </row>
    <row r="61" spans="1:7" x14ac:dyDescent="0.15">
      <c r="A61" s="63">
        <f t="shared" si="0"/>
        <v>58</v>
      </c>
      <c r="B61" s="41"/>
      <c r="C61" s="41"/>
      <c r="D61" s="41"/>
      <c r="G61" s="65" t="str">
        <f>IFERROR(INDEX(公共域!$C:$C,MATCH(F61,公共域!$B:$B,0)),"")</f>
        <v/>
      </c>
    </row>
  </sheetData>
  <sheetProtection formatCells="0" selectLockedCells="1" selectUnlockedCells="1"/>
  <mergeCells count="1">
    <mergeCell ref="A2:D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4"/>
  <sheetViews>
    <sheetView workbookViewId="0">
      <selection activeCell="E11" sqref="E11"/>
    </sheetView>
  </sheetViews>
  <sheetFormatPr defaultRowHeight="12" x14ac:dyDescent="0.15"/>
  <cols>
    <col min="1" max="1" width="19.875" style="45" customWidth="1"/>
    <col min="2" max="2" width="17.375" style="57" customWidth="1"/>
    <col min="3" max="3" width="48.625" style="58" customWidth="1"/>
    <col min="4" max="4" width="7.625" style="57" customWidth="1"/>
    <col min="5" max="5" width="11.625" style="45" customWidth="1"/>
    <col min="6" max="6" width="12.75" style="45" customWidth="1"/>
    <col min="7" max="7" width="44" style="45" customWidth="1"/>
    <col min="8" max="16384" width="9" style="45"/>
  </cols>
  <sheetData>
    <row r="1" spans="1:6" x14ac:dyDescent="0.15">
      <c r="A1" s="74" t="s">
        <v>17</v>
      </c>
      <c r="B1" s="74"/>
      <c r="C1" s="74"/>
      <c r="D1" s="74"/>
      <c r="E1" s="43" t="str">
        <f>HYPERLINK(CONCATENATE("#'目录'!D",MATCH(F1,目录!D:D,0)),"返回")</f>
        <v>返回</v>
      </c>
      <c r="F1" s="44" t="s">
        <v>44</v>
      </c>
    </row>
    <row r="2" spans="1:6" ht="13.5" customHeight="1" x14ac:dyDescent="0.15">
      <c r="A2" s="46" t="s">
        <v>18</v>
      </c>
      <c r="B2" s="46" t="s">
        <v>19</v>
      </c>
      <c r="C2" s="46" t="s">
        <v>20</v>
      </c>
      <c r="D2" s="72" t="s">
        <v>77</v>
      </c>
    </row>
    <row r="3" spans="1:6" x14ac:dyDescent="0.15">
      <c r="A3" s="47" t="s">
        <v>21</v>
      </c>
      <c r="B3" s="47" t="s">
        <v>49</v>
      </c>
      <c r="C3" s="59" t="s">
        <v>78</v>
      </c>
      <c r="D3" s="49" t="s">
        <v>11</v>
      </c>
    </row>
    <row r="4" spans="1:6" x14ac:dyDescent="0.15">
      <c r="A4" s="47" t="s">
        <v>22</v>
      </c>
      <c r="B4" s="47" t="s">
        <v>23</v>
      </c>
      <c r="C4" s="50" t="s">
        <v>24</v>
      </c>
      <c r="D4" s="51" t="s">
        <v>48</v>
      </c>
    </row>
    <row r="5" spans="1:6" x14ac:dyDescent="0.15">
      <c r="A5" s="47" t="s">
        <v>25</v>
      </c>
      <c r="B5" s="47" t="s">
        <v>26</v>
      </c>
      <c r="C5" s="62" t="s">
        <v>58</v>
      </c>
      <c r="D5" s="51" t="s">
        <v>48</v>
      </c>
    </row>
    <row r="6" spans="1:6" ht="60" x14ac:dyDescent="0.15">
      <c r="A6" s="47" t="s">
        <v>27</v>
      </c>
      <c r="B6" s="47" t="s">
        <v>28</v>
      </c>
      <c r="C6" s="59" t="s">
        <v>171</v>
      </c>
      <c r="D6" s="51" t="s">
        <v>48</v>
      </c>
    </row>
    <row r="7" spans="1:6" x14ac:dyDescent="0.15">
      <c r="A7" s="47" t="s">
        <v>52</v>
      </c>
      <c r="B7" s="47" t="s">
        <v>53</v>
      </c>
      <c r="C7" s="48" t="s">
        <v>54</v>
      </c>
      <c r="D7" s="51" t="s">
        <v>48</v>
      </c>
    </row>
    <row r="8" spans="1:6" ht="36" x14ac:dyDescent="0.15">
      <c r="A8" s="47" t="s">
        <v>29</v>
      </c>
      <c r="B8" s="47" t="s">
        <v>30</v>
      </c>
      <c r="C8" s="59" t="s">
        <v>172</v>
      </c>
      <c r="D8" s="51" t="s">
        <v>48</v>
      </c>
    </row>
    <row r="9" spans="1:6" ht="24" x14ac:dyDescent="0.15">
      <c r="A9" s="47" t="s">
        <v>31</v>
      </c>
      <c r="B9" s="47" t="s">
        <v>32</v>
      </c>
      <c r="C9" s="59" t="s">
        <v>173</v>
      </c>
      <c r="D9" s="51" t="s">
        <v>48</v>
      </c>
    </row>
    <row r="10" spans="1:6" ht="24" x14ac:dyDescent="0.15">
      <c r="A10" s="47" t="s">
        <v>33</v>
      </c>
      <c r="B10" s="47" t="s">
        <v>34</v>
      </c>
      <c r="C10" s="48" t="s">
        <v>36</v>
      </c>
      <c r="D10" s="51" t="s">
        <v>48</v>
      </c>
    </row>
    <row r="11" spans="1:6" ht="72" x14ac:dyDescent="0.15">
      <c r="A11" s="47" t="s">
        <v>27</v>
      </c>
      <c r="B11" s="47" t="s">
        <v>28</v>
      </c>
      <c r="C11" s="59" t="s">
        <v>169</v>
      </c>
      <c r="D11" s="52" t="s">
        <v>42</v>
      </c>
    </row>
    <row r="12" spans="1:6" x14ac:dyDescent="0.15">
      <c r="A12" s="47" t="s">
        <v>52</v>
      </c>
      <c r="B12" s="47" t="s">
        <v>53</v>
      </c>
      <c r="C12" s="48" t="s">
        <v>54</v>
      </c>
      <c r="D12" s="52" t="s">
        <v>42</v>
      </c>
    </row>
    <row r="13" spans="1:6" ht="24" x14ac:dyDescent="0.15">
      <c r="A13" s="47" t="s">
        <v>29</v>
      </c>
      <c r="B13" s="47" t="s">
        <v>30</v>
      </c>
      <c r="C13" s="48" t="s">
        <v>55</v>
      </c>
      <c r="D13" s="52" t="s">
        <v>42</v>
      </c>
    </row>
    <row r="14" spans="1:6" ht="24" x14ac:dyDescent="0.15">
      <c r="A14" s="47" t="s">
        <v>31</v>
      </c>
      <c r="B14" s="47" t="s">
        <v>32</v>
      </c>
      <c r="C14" s="48" t="s">
        <v>56</v>
      </c>
      <c r="D14" s="52" t="s">
        <v>42</v>
      </c>
    </row>
    <row r="15" spans="1:6" x14ac:dyDescent="0.15">
      <c r="A15" s="47"/>
      <c r="B15" s="47"/>
      <c r="C15" s="50"/>
      <c r="D15" s="47"/>
    </row>
    <row r="16" spans="1:6" x14ac:dyDescent="0.15">
      <c r="A16" s="47"/>
      <c r="B16" s="47"/>
      <c r="C16" s="50"/>
      <c r="D16" s="47"/>
    </row>
    <row r="17" spans="1:4" x14ac:dyDescent="0.15">
      <c r="A17" s="47"/>
      <c r="B17" s="47"/>
      <c r="C17" s="50"/>
      <c r="D17" s="47"/>
    </row>
    <row r="18" spans="1:4" x14ac:dyDescent="0.15">
      <c r="A18" s="47"/>
      <c r="B18" s="47"/>
      <c r="C18" s="50"/>
      <c r="D18" s="47"/>
    </row>
    <row r="19" spans="1:4" x14ac:dyDescent="0.15">
      <c r="A19" s="47"/>
      <c r="B19" s="47"/>
      <c r="C19" s="50"/>
      <c r="D19" s="47"/>
    </row>
    <row r="20" spans="1:4" x14ac:dyDescent="0.15">
      <c r="A20" s="47"/>
      <c r="B20" s="47"/>
      <c r="C20" s="50"/>
      <c r="D20" s="47"/>
    </row>
    <row r="21" spans="1:4" x14ac:dyDescent="0.15">
      <c r="A21" s="47"/>
      <c r="B21" s="47"/>
      <c r="C21" s="50"/>
      <c r="D21" s="47"/>
    </row>
    <row r="22" spans="1:4" x14ac:dyDescent="0.15">
      <c r="A22" s="47"/>
      <c r="B22" s="47"/>
      <c r="C22" s="50"/>
      <c r="D22" s="47"/>
    </row>
    <row r="23" spans="1:4" x14ac:dyDescent="0.15">
      <c r="A23" s="46" t="s">
        <v>35</v>
      </c>
      <c r="B23" s="46" t="s">
        <v>35</v>
      </c>
      <c r="C23" s="53" t="s">
        <v>35</v>
      </c>
      <c r="D23" s="46"/>
    </row>
    <row r="24" spans="1:4" x14ac:dyDescent="0.15">
      <c r="A24" s="54"/>
      <c r="B24" s="55"/>
      <c r="C24" s="56"/>
      <c r="D24" s="55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8" r:id="rId4" name="生成指定表的SQL">
          <controlPr defaultSize="0" autoLine="0" r:id="rId5">
            <anchor>
              <from>
                <xdr:col>4</xdr:col>
                <xdr:colOff>381000</xdr:colOff>
                <xdr:row>5</xdr:row>
                <xdr:rowOff>247650</xdr:rowOff>
              </from>
              <to>
                <xdr:col>5</xdr:col>
                <xdr:colOff>762000</xdr:colOff>
                <xdr:row>5</xdr:row>
                <xdr:rowOff>561975</xdr:rowOff>
              </to>
            </anchor>
          </controlPr>
        </control>
      </mc:Choice>
      <mc:Fallback>
        <control shapeId="19458" r:id="rId4" name="生成指定表的SQL"/>
      </mc:Fallback>
    </mc:AlternateContent>
    <mc:AlternateContent xmlns:mc="http://schemas.openxmlformats.org/markup-compatibility/2006">
      <mc:Choice Requires="x14">
        <control shapeId="19457" r:id="rId6" name="生成所有表的SQL">
          <controlPr defaultSize="0" autoLine="0" r:id="rId7">
            <anchor>
              <from>
                <xdr:col>4</xdr:col>
                <xdr:colOff>381000</xdr:colOff>
                <xdr:row>3</xdr:row>
                <xdr:rowOff>0</xdr:rowOff>
              </from>
              <to>
                <xdr:col>5</xdr:col>
                <xdr:colOff>762000</xdr:colOff>
                <xdr:row>5</xdr:row>
                <xdr:rowOff>9525</xdr:rowOff>
              </to>
            </anchor>
          </controlPr>
        </control>
      </mc:Choice>
      <mc:Fallback>
        <control shapeId="19457" r:id="rId6" name="生成所有表的SQ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100"/>
  <sheetViews>
    <sheetView workbookViewId="0">
      <selection activeCell="B33" sqref="B33"/>
    </sheetView>
  </sheetViews>
  <sheetFormatPr defaultRowHeight="13.5" x14ac:dyDescent="0.15"/>
  <cols>
    <col min="1" max="1" width="13.75" style="30" customWidth="1"/>
    <col min="2" max="2" width="54.5" customWidth="1"/>
  </cols>
  <sheetData>
    <row r="1" spans="1:2" x14ac:dyDescent="0.15">
      <c r="A1" s="19" t="str">
        <f>HYPERLINK(CONCATENATE("#'目录'!D",MATCH(B1,目录!D:D,0)),"返回")</f>
        <v>返回</v>
      </c>
      <c r="B1" s="21" t="s">
        <v>47</v>
      </c>
    </row>
    <row r="2" spans="1:2" x14ac:dyDescent="0.15">
      <c r="A2" s="38" t="s">
        <v>39</v>
      </c>
      <c r="B2" s="39" t="s">
        <v>40</v>
      </c>
    </row>
    <row r="3" spans="1:2" x14ac:dyDescent="0.15">
      <c r="A3" s="40">
        <v>43024</v>
      </c>
      <c r="B3" s="41" t="s">
        <v>57</v>
      </c>
    </row>
    <row r="4" spans="1:2" x14ac:dyDescent="0.15">
      <c r="A4" s="40"/>
      <c r="B4" s="41"/>
    </row>
    <row r="5" spans="1:2" x14ac:dyDescent="0.15">
      <c r="A5" s="40"/>
      <c r="B5" s="42"/>
    </row>
    <row r="6" spans="1:2" x14ac:dyDescent="0.15">
      <c r="A6" s="40"/>
      <c r="B6" s="42"/>
    </row>
    <row r="7" spans="1:2" x14ac:dyDescent="0.15">
      <c r="A7" s="40"/>
      <c r="B7" s="42"/>
    </row>
    <row r="8" spans="1:2" x14ac:dyDescent="0.15">
      <c r="A8" s="40"/>
      <c r="B8" s="42"/>
    </row>
    <row r="9" spans="1:2" x14ac:dyDescent="0.15">
      <c r="A9" s="40"/>
      <c r="B9" s="42"/>
    </row>
    <row r="10" spans="1:2" x14ac:dyDescent="0.15">
      <c r="A10" s="40"/>
      <c r="B10" s="42"/>
    </row>
    <row r="11" spans="1:2" x14ac:dyDescent="0.15">
      <c r="A11" s="40"/>
      <c r="B11" s="42"/>
    </row>
    <row r="12" spans="1:2" x14ac:dyDescent="0.15">
      <c r="A12" s="40"/>
      <c r="B12" s="42"/>
    </row>
    <row r="13" spans="1:2" x14ac:dyDescent="0.15">
      <c r="A13" s="40"/>
      <c r="B13" s="42"/>
    </row>
    <row r="14" spans="1:2" x14ac:dyDescent="0.15">
      <c r="A14" s="40"/>
      <c r="B14" s="42"/>
    </row>
    <row r="15" spans="1:2" x14ac:dyDescent="0.15">
      <c r="A15" s="40"/>
      <c r="B15" s="42"/>
    </row>
    <row r="16" spans="1:2" x14ac:dyDescent="0.15">
      <c r="A16" s="40"/>
      <c r="B16" s="42"/>
    </row>
    <row r="17" spans="1:2" x14ac:dyDescent="0.15">
      <c r="A17" s="40"/>
      <c r="B17" s="42"/>
    </row>
    <row r="18" spans="1:2" x14ac:dyDescent="0.15">
      <c r="A18" s="40"/>
      <c r="B18" s="42"/>
    </row>
    <row r="19" spans="1:2" x14ac:dyDescent="0.15">
      <c r="A19" s="40"/>
      <c r="B19" s="42"/>
    </row>
    <row r="20" spans="1:2" x14ac:dyDescent="0.15">
      <c r="A20" s="40"/>
      <c r="B20" s="42"/>
    </row>
    <row r="21" spans="1:2" x14ac:dyDescent="0.15">
      <c r="A21" s="40"/>
      <c r="B21" s="42"/>
    </row>
    <row r="22" spans="1:2" x14ac:dyDescent="0.15">
      <c r="A22" s="40"/>
      <c r="B22" s="42"/>
    </row>
    <row r="23" spans="1:2" x14ac:dyDescent="0.15">
      <c r="A23" s="40"/>
      <c r="B23" s="42"/>
    </row>
    <row r="24" spans="1:2" x14ac:dyDescent="0.15">
      <c r="A24" s="40"/>
      <c r="B24" s="42"/>
    </row>
    <row r="25" spans="1:2" x14ac:dyDescent="0.15">
      <c r="A25" s="40"/>
      <c r="B25" s="42"/>
    </row>
    <row r="26" spans="1:2" x14ac:dyDescent="0.15">
      <c r="A26" s="40"/>
      <c r="B26" s="42"/>
    </row>
    <row r="27" spans="1:2" x14ac:dyDescent="0.15">
      <c r="A27" s="40"/>
      <c r="B27" s="42"/>
    </row>
    <row r="28" spans="1:2" x14ac:dyDescent="0.15">
      <c r="A28" s="40"/>
      <c r="B28" s="42"/>
    </row>
    <row r="29" spans="1:2" x14ac:dyDescent="0.15">
      <c r="A29" s="40"/>
      <c r="B29" s="42"/>
    </row>
    <row r="30" spans="1:2" x14ac:dyDescent="0.15">
      <c r="A30" s="40"/>
      <c r="B30" s="42"/>
    </row>
    <row r="31" spans="1:2" x14ac:dyDescent="0.15">
      <c r="A31" s="40"/>
      <c r="B31" s="42"/>
    </row>
    <row r="32" spans="1:2" x14ac:dyDescent="0.15">
      <c r="A32" s="40"/>
      <c r="B32" s="42"/>
    </row>
    <row r="33" spans="1:2" x14ac:dyDescent="0.15">
      <c r="A33" s="40"/>
      <c r="B33" s="42"/>
    </row>
    <row r="34" spans="1:2" x14ac:dyDescent="0.15">
      <c r="A34" s="40"/>
      <c r="B34" s="42"/>
    </row>
    <row r="35" spans="1:2" x14ac:dyDescent="0.15">
      <c r="A35" s="40"/>
      <c r="B35" s="42"/>
    </row>
    <row r="36" spans="1:2" x14ac:dyDescent="0.15">
      <c r="A36" s="40"/>
      <c r="B36" s="42"/>
    </row>
    <row r="37" spans="1:2" x14ac:dyDescent="0.15">
      <c r="A37" s="40"/>
      <c r="B37" s="42"/>
    </row>
    <row r="38" spans="1:2" x14ac:dyDescent="0.15">
      <c r="A38" s="40"/>
      <c r="B38" s="42"/>
    </row>
    <row r="39" spans="1:2" x14ac:dyDescent="0.15">
      <c r="A39" s="40"/>
      <c r="B39" s="42"/>
    </row>
    <row r="40" spans="1:2" x14ac:dyDescent="0.15">
      <c r="A40" s="40"/>
      <c r="B40" s="42"/>
    </row>
    <row r="41" spans="1:2" x14ac:dyDescent="0.15">
      <c r="A41" s="40"/>
      <c r="B41" s="42"/>
    </row>
    <row r="42" spans="1:2" x14ac:dyDescent="0.15">
      <c r="A42" s="40"/>
      <c r="B42" s="42"/>
    </row>
    <row r="43" spans="1:2" x14ac:dyDescent="0.15">
      <c r="A43" s="40"/>
      <c r="B43" s="42"/>
    </row>
    <row r="44" spans="1:2" x14ac:dyDescent="0.15">
      <c r="A44" s="40"/>
      <c r="B44" s="42"/>
    </row>
    <row r="45" spans="1:2" x14ac:dyDescent="0.15">
      <c r="A45" s="40"/>
      <c r="B45" s="42"/>
    </row>
    <row r="46" spans="1:2" x14ac:dyDescent="0.15">
      <c r="A46" s="40"/>
      <c r="B46" s="42"/>
    </row>
    <row r="47" spans="1:2" x14ac:dyDescent="0.15">
      <c r="A47" s="40"/>
      <c r="B47" s="42"/>
    </row>
    <row r="48" spans="1:2" x14ac:dyDescent="0.15">
      <c r="A48" s="40"/>
      <c r="B48" s="42"/>
    </row>
    <row r="49" spans="1:2" x14ac:dyDescent="0.15">
      <c r="A49" s="40"/>
      <c r="B49" s="42"/>
    </row>
    <row r="50" spans="1:2" x14ac:dyDescent="0.15">
      <c r="A50" s="40"/>
      <c r="B50" s="42"/>
    </row>
    <row r="51" spans="1:2" x14ac:dyDescent="0.15">
      <c r="A51" s="40"/>
      <c r="B51" s="42"/>
    </row>
    <row r="52" spans="1:2" x14ac:dyDescent="0.15">
      <c r="A52" s="40"/>
      <c r="B52" s="42"/>
    </row>
    <row r="53" spans="1:2" x14ac:dyDescent="0.15">
      <c r="A53" s="40"/>
      <c r="B53" s="42"/>
    </row>
    <row r="54" spans="1:2" x14ac:dyDescent="0.15">
      <c r="A54" s="40"/>
      <c r="B54" s="42"/>
    </row>
    <row r="55" spans="1:2" x14ac:dyDescent="0.15">
      <c r="A55" s="40"/>
      <c r="B55" s="42"/>
    </row>
    <row r="56" spans="1:2" x14ac:dyDescent="0.15">
      <c r="A56" s="40"/>
      <c r="B56" s="42"/>
    </row>
    <row r="57" spans="1:2" x14ac:dyDescent="0.15">
      <c r="A57" s="40"/>
      <c r="B57" s="42"/>
    </row>
    <row r="58" spans="1:2" x14ac:dyDescent="0.15">
      <c r="A58" s="40"/>
      <c r="B58" s="42"/>
    </row>
    <row r="59" spans="1:2" x14ac:dyDescent="0.15">
      <c r="A59" s="40"/>
      <c r="B59" s="42"/>
    </row>
    <row r="60" spans="1:2" x14ac:dyDescent="0.15">
      <c r="A60" s="40"/>
      <c r="B60" s="42"/>
    </row>
    <row r="61" spans="1:2" x14ac:dyDescent="0.15">
      <c r="A61" s="40"/>
      <c r="B61" s="42"/>
    </row>
    <row r="62" spans="1:2" x14ac:dyDescent="0.15">
      <c r="A62" s="40"/>
      <c r="B62" s="42"/>
    </row>
    <row r="63" spans="1:2" x14ac:dyDescent="0.15">
      <c r="A63" s="40"/>
      <c r="B63" s="42"/>
    </row>
    <row r="64" spans="1:2" x14ac:dyDescent="0.15">
      <c r="A64" s="40"/>
      <c r="B64" s="42"/>
    </row>
    <row r="65" spans="1:2" x14ac:dyDescent="0.15">
      <c r="A65" s="40"/>
      <c r="B65" s="42"/>
    </row>
    <row r="66" spans="1:2" x14ac:dyDescent="0.15">
      <c r="A66" s="40"/>
      <c r="B66" s="42"/>
    </row>
    <row r="67" spans="1:2" x14ac:dyDescent="0.15">
      <c r="A67" s="40"/>
      <c r="B67" s="42"/>
    </row>
    <row r="68" spans="1:2" x14ac:dyDescent="0.15">
      <c r="A68" s="40"/>
      <c r="B68" s="42"/>
    </row>
    <row r="69" spans="1:2" x14ac:dyDescent="0.15">
      <c r="A69" s="40"/>
      <c r="B69" s="42"/>
    </row>
    <row r="70" spans="1:2" x14ac:dyDescent="0.15">
      <c r="A70" s="40"/>
      <c r="B70" s="42"/>
    </row>
    <row r="71" spans="1:2" x14ac:dyDescent="0.15">
      <c r="A71" s="40"/>
      <c r="B71" s="42"/>
    </row>
    <row r="72" spans="1:2" x14ac:dyDescent="0.15">
      <c r="A72" s="40"/>
      <c r="B72" s="42"/>
    </row>
    <row r="73" spans="1:2" x14ac:dyDescent="0.15">
      <c r="A73" s="40"/>
      <c r="B73" s="42"/>
    </row>
    <row r="74" spans="1:2" x14ac:dyDescent="0.15">
      <c r="A74" s="40"/>
      <c r="B74" s="42"/>
    </row>
    <row r="75" spans="1:2" x14ac:dyDescent="0.15">
      <c r="A75" s="40"/>
      <c r="B75" s="42"/>
    </row>
    <row r="76" spans="1:2" x14ac:dyDescent="0.15">
      <c r="A76" s="40"/>
      <c r="B76" s="42"/>
    </row>
    <row r="77" spans="1:2" x14ac:dyDescent="0.15">
      <c r="A77" s="40"/>
      <c r="B77" s="42"/>
    </row>
    <row r="78" spans="1:2" x14ac:dyDescent="0.15">
      <c r="A78" s="40"/>
      <c r="B78" s="42"/>
    </row>
    <row r="79" spans="1:2" x14ac:dyDescent="0.15">
      <c r="A79" s="40"/>
      <c r="B79" s="42"/>
    </row>
    <row r="80" spans="1:2" x14ac:dyDescent="0.15">
      <c r="A80" s="40"/>
      <c r="B80" s="42"/>
    </row>
    <row r="81" spans="1:2" x14ac:dyDescent="0.15">
      <c r="A81" s="40"/>
      <c r="B81" s="42"/>
    </row>
    <row r="82" spans="1:2" x14ac:dyDescent="0.15">
      <c r="A82" s="40"/>
      <c r="B82" s="42"/>
    </row>
    <row r="83" spans="1:2" x14ac:dyDescent="0.15">
      <c r="A83" s="40"/>
      <c r="B83" s="42"/>
    </row>
    <row r="84" spans="1:2" x14ac:dyDescent="0.15">
      <c r="A84" s="40"/>
      <c r="B84" s="42"/>
    </row>
    <row r="85" spans="1:2" x14ac:dyDescent="0.15">
      <c r="A85" s="40"/>
      <c r="B85" s="42"/>
    </row>
    <row r="86" spans="1:2" x14ac:dyDescent="0.15">
      <c r="A86" s="40"/>
      <c r="B86" s="42"/>
    </row>
    <row r="87" spans="1:2" x14ac:dyDescent="0.15">
      <c r="A87" s="40"/>
      <c r="B87" s="42"/>
    </row>
    <row r="88" spans="1:2" x14ac:dyDescent="0.15">
      <c r="A88" s="40"/>
      <c r="B88" s="42"/>
    </row>
    <row r="89" spans="1:2" x14ac:dyDescent="0.15">
      <c r="A89" s="40"/>
      <c r="B89" s="42"/>
    </row>
    <row r="90" spans="1:2" x14ac:dyDescent="0.15">
      <c r="A90" s="40"/>
      <c r="B90" s="42"/>
    </row>
    <row r="91" spans="1:2" x14ac:dyDescent="0.15">
      <c r="A91" s="40"/>
      <c r="B91" s="42"/>
    </row>
    <row r="92" spans="1:2" x14ac:dyDescent="0.15">
      <c r="A92" s="40"/>
      <c r="B92" s="42"/>
    </row>
    <row r="93" spans="1:2" x14ac:dyDescent="0.15">
      <c r="A93" s="40"/>
      <c r="B93" s="42"/>
    </row>
    <row r="94" spans="1:2" x14ac:dyDescent="0.15">
      <c r="A94" s="40"/>
      <c r="B94" s="42"/>
    </row>
    <row r="95" spans="1:2" x14ac:dyDescent="0.15">
      <c r="A95" s="40"/>
      <c r="B95" s="42"/>
    </row>
    <row r="96" spans="1:2" x14ac:dyDescent="0.15">
      <c r="A96" s="40"/>
      <c r="B96" s="42"/>
    </row>
    <row r="97" spans="1:2" x14ac:dyDescent="0.15">
      <c r="A97" s="40"/>
      <c r="B97" s="42"/>
    </row>
    <row r="98" spans="1:2" x14ac:dyDescent="0.15">
      <c r="A98" s="40"/>
      <c r="B98" s="42"/>
    </row>
    <row r="99" spans="1:2" x14ac:dyDescent="0.15">
      <c r="A99" s="40"/>
      <c r="B99" s="42"/>
    </row>
    <row r="100" spans="1:2" x14ac:dyDescent="0.15">
      <c r="A100" s="40"/>
      <c r="B100" s="4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7" sqref="D17"/>
    </sheetView>
  </sheetViews>
  <sheetFormatPr defaultColWidth="9" defaultRowHeight="13.5" x14ac:dyDescent="0.15"/>
  <cols>
    <col min="1" max="1" width="5.25" style="6" customWidth="1"/>
    <col min="2" max="2" width="11.5" style="6" customWidth="1"/>
    <col min="3" max="3" width="25.625" style="34" customWidth="1"/>
    <col min="4" max="4" width="19.125" style="6" customWidth="1"/>
    <col min="5" max="5" width="22.125" style="6" customWidth="1"/>
    <col min="6" max="6" width="8.25" style="9" customWidth="1"/>
    <col min="7" max="7" width="49.875" style="6" customWidth="1"/>
    <col min="8" max="8" width="11.625" style="5" bestFit="1" customWidth="1"/>
    <col min="9" max="16384" width="9" style="6"/>
  </cols>
  <sheetData>
    <row r="1" spans="1:10" s="1" customFormat="1" x14ac:dyDescent="0.15">
      <c r="A1" s="8" t="s">
        <v>0</v>
      </c>
      <c r="B1" s="8" t="s">
        <v>2</v>
      </c>
      <c r="C1" s="8" t="s">
        <v>3</v>
      </c>
      <c r="D1" s="27" t="s">
        <v>168</v>
      </c>
      <c r="E1" s="8" t="s">
        <v>167</v>
      </c>
      <c r="F1" s="8" t="s">
        <v>4</v>
      </c>
      <c r="G1" s="8" t="s">
        <v>1</v>
      </c>
      <c r="H1" s="8" t="s">
        <v>41</v>
      </c>
    </row>
    <row r="2" spans="1:10" x14ac:dyDescent="0.15">
      <c r="A2" s="2">
        <f t="shared" ref="A2:A11" si="0">ROW()-ROW(A$1)</f>
        <v>1</v>
      </c>
      <c r="B2" s="7"/>
      <c r="C2" s="33"/>
      <c r="D2" s="26" t="s">
        <v>45</v>
      </c>
      <c r="E2" s="26" t="s">
        <v>44</v>
      </c>
      <c r="F2" s="14" t="str">
        <f>HYPERLINK("#'"&amp;目录!D2&amp;"'!A1","====&gt;&gt;")</f>
        <v>====&gt;&gt;</v>
      </c>
      <c r="G2" s="4"/>
      <c r="H2" s="32" t="s">
        <v>43</v>
      </c>
      <c r="I2" s="15"/>
      <c r="J2" s="15"/>
    </row>
    <row r="3" spans="1:10" x14ac:dyDescent="0.15">
      <c r="A3" s="2">
        <f t="shared" si="0"/>
        <v>2</v>
      </c>
      <c r="B3" s="7"/>
      <c r="C3" s="33"/>
      <c r="D3" s="26" t="s">
        <v>46</v>
      </c>
      <c r="E3" s="26" t="s">
        <v>46</v>
      </c>
      <c r="F3" s="14" t="str">
        <f t="shared" ref="F3:F11" si="1">HYPERLINK("#'"&amp;D3&amp;"'!A1","====&gt;&gt;")</f>
        <v>====&gt;&gt;</v>
      </c>
      <c r="G3" s="4"/>
      <c r="H3" s="32" t="s">
        <v>42</v>
      </c>
      <c r="I3" s="15"/>
      <c r="J3" s="15"/>
    </row>
    <row r="4" spans="1:10" x14ac:dyDescent="0.15">
      <c r="A4" s="2">
        <f t="shared" si="0"/>
        <v>3</v>
      </c>
      <c r="B4" s="7"/>
      <c r="C4" s="33"/>
      <c r="D4" s="26" t="s">
        <v>62</v>
      </c>
      <c r="E4" s="26" t="s">
        <v>62</v>
      </c>
      <c r="F4" s="14" t="str">
        <f t="shared" ref="F4" si="2">HYPERLINK("#'"&amp;D4&amp;"'!A1","====&gt;&gt;")</f>
        <v>====&gt;&gt;</v>
      </c>
      <c r="G4" s="4"/>
      <c r="H4" s="32" t="s">
        <v>42</v>
      </c>
      <c r="I4" s="15"/>
      <c r="J4" s="15"/>
    </row>
    <row r="5" spans="1:10" x14ac:dyDescent="0.15">
      <c r="A5" s="2">
        <f t="shared" si="0"/>
        <v>4</v>
      </c>
      <c r="B5" s="7"/>
      <c r="C5" s="33"/>
      <c r="D5" s="26" t="s">
        <v>50</v>
      </c>
      <c r="E5" s="26" t="s">
        <v>50</v>
      </c>
      <c r="F5" s="14" t="str">
        <f t="shared" si="1"/>
        <v>====&gt;&gt;</v>
      </c>
      <c r="G5" s="4"/>
      <c r="H5" s="32" t="s">
        <v>42</v>
      </c>
      <c r="I5" s="15"/>
      <c r="J5" s="15"/>
    </row>
    <row r="6" spans="1:10" x14ac:dyDescent="0.15">
      <c r="A6" s="2">
        <f t="shared" si="0"/>
        <v>5</v>
      </c>
      <c r="B6" s="7" t="s">
        <v>16</v>
      </c>
      <c r="C6" s="33"/>
      <c r="D6" s="26"/>
      <c r="E6" s="26"/>
      <c r="F6" s="14" t="str">
        <f t="shared" si="1"/>
        <v>====&gt;&gt;</v>
      </c>
      <c r="G6" s="28"/>
      <c r="H6" s="31" t="s">
        <v>11</v>
      </c>
      <c r="I6" s="15"/>
      <c r="J6" s="15"/>
    </row>
    <row r="7" spans="1:10" x14ac:dyDescent="0.15">
      <c r="A7" s="2">
        <f t="shared" si="0"/>
        <v>6</v>
      </c>
      <c r="B7" s="7"/>
      <c r="C7" s="33"/>
      <c r="D7" s="26"/>
      <c r="E7" s="3"/>
      <c r="F7" s="14" t="str">
        <f t="shared" si="1"/>
        <v>====&gt;&gt;</v>
      </c>
      <c r="G7" s="28"/>
      <c r="H7" s="31" t="s">
        <v>11</v>
      </c>
      <c r="I7" s="15"/>
      <c r="J7" s="15"/>
    </row>
    <row r="8" spans="1:10" x14ac:dyDescent="0.15">
      <c r="A8" s="2">
        <f t="shared" si="0"/>
        <v>7</v>
      </c>
      <c r="B8" s="7"/>
      <c r="C8" s="33"/>
      <c r="D8" s="26"/>
      <c r="E8" s="3"/>
      <c r="F8" s="14" t="str">
        <f t="shared" ref="F8" si="3">HYPERLINK("#'"&amp;D8&amp;"'!A1","====&gt;&gt;")</f>
        <v>====&gt;&gt;</v>
      </c>
      <c r="G8" s="28"/>
      <c r="H8" s="31" t="s">
        <v>11</v>
      </c>
      <c r="I8" s="15"/>
      <c r="J8" s="15"/>
    </row>
    <row r="9" spans="1:10" x14ac:dyDescent="0.15">
      <c r="A9" s="2">
        <f t="shared" si="0"/>
        <v>8</v>
      </c>
      <c r="B9" s="7"/>
      <c r="C9" s="33"/>
      <c r="D9" s="26"/>
      <c r="E9" s="3"/>
      <c r="F9" s="14" t="str">
        <f t="shared" si="1"/>
        <v>====&gt;&gt;</v>
      </c>
      <c r="G9" s="28"/>
      <c r="H9" s="31" t="s">
        <v>11</v>
      </c>
      <c r="I9" s="15"/>
      <c r="J9" s="15"/>
    </row>
    <row r="10" spans="1:10" x14ac:dyDescent="0.15">
      <c r="A10" s="2">
        <f t="shared" si="0"/>
        <v>9</v>
      </c>
      <c r="B10" s="7"/>
      <c r="C10" s="33"/>
      <c r="D10" s="26"/>
      <c r="E10" s="3"/>
      <c r="F10" s="14" t="str">
        <f t="shared" ref="F10" si="4">HYPERLINK("#'"&amp;D10&amp;"'!A1","====&gt;&gt;")</f>
        <v>====&gt;&gt;</v>
      </c>
      <c r="G10" s="28"/>
      <c r="H10" s="31" t="s">
        <v>11</v>
      </c>
      <c r="I10" s="15"/>
      <c r="J10" s="15"/>
    </row>
    <row r="11" spans="1:10" x14ac:dyDescent="0.15">
      <c r="A11" s="2">
        <f t="shared" si="0"/>
        <v>10</v>
      </c>
      <c r="B11" s="7"/>
      <c r="C11" s="33"/>
      <c r="D11" s="26"/>
      <c r="E11" s="3"/>
      <c r="F11" s="14" t="str">
        <f t="shared" si="1"/>
        <v>====&gt;&gt;</v>
      </c>
      <c r="G11" s="4"/>
      <c r="H11" s="31" t="s">
        <v>11</v>
      </c>
      <c r="I11" s="15"/>
      <c r="J11" s="15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32"/>
  <sheetViews>
    <sheetView workbookViewId="0">
      <selection activeCell="J3" sqref="J3:N3"/>
    </sheetView>
  </sheetViews>
  <sheetFormatPr defaultRowHeight="12" x14ac:dyDescent="0.15"/>
  <cols>
    <col min="1" max="1" width="6.25" style="24" customWidth="1"/>
    <col min="2" max="2" width="16.25" style="21" customWidth="1"/>
    <col min="3" max="3" width="17.375" style="21" customWidth="1"/>
    <col min="4" max="4" width="19.75" style="21" customWidth="1"/>
    <col min="5" max="5" width="10.875" style="21" customWidth="1"/>
    <col min="6" max="6" width="11.25" style="21" customWidth="1"/>
    <col min="7" max="7" width="14.625" style="21" customWidth="1"/>
    <col min="8" max="8" width="20.125" style="21" customWidth="1"/>
    <col min="9" max="9" width="9" style="21"/>
    <col min="10" max="10" width="11.25" style="35" customWidth="1"/>
    <col min="11" max="11" width="13.25" style="35" customWidth="1"/>
    <col min="12" max="12" width="10.25" style="35" customWidth="1"/>
    <col min="13" max="13" width="13.75" style="35" customWidth="1"/>
    <col min="14" max="14" width="12.875" style="35" customWidth="1"/>
    <col min="15" max="16384" width="9" style="21"/>
  </cols>
  <sheetData>
    <row r="1" spans="1:19" ht="13.5" x14ac:dyDescent="0.15">
      <c r="A1" s="71" t="str">
        <f>HYPERLINK(CONCATENATE("#'目录'!D",MATCH(B1,目录!D:D,0)),"返回")</f>
        <v>返回</v>
      </c>
      <c r="B1" s="21" t="s">
        <v>51</v>
      </c>
      <c r="C1" s="22" t="str">
        <f>INDEX(目录!E:E,MATCH(B1,目录!D:D,0))</f>
        <v>模板</v>
      </c>
    </row>
    <row r="2" spans="1:19" x14ac:dyDescent="0.15">
      <c r="A2" s="23"/>
      <c r="B2" s="16"/>
      <c r="C2" s="16"/>
    </row>
    <row r="3" spans="1:19" x14ac:dyDescent="0.15">
      <c r="A3" s="75"/>
      <c r="B3" s="76"/>
      <c r="C3" s="76"/>
      <c r="D3" s="76"/>
      <c r="E3" s="76"/>
      <c r="F3" s="76"/>
      <c r="G3" s="76"/>
      <c r="H3" s="77"/>
      <c r="J3" s="92" t="s">
        <v>61</v>
      </c>
      <c r="K3" s="92"/>
      <c r="L3" s="92"/>
      <c r="M3" s="92"/>
      <c r="N3" s="92"/>
    </row>
    <row r="4" spans="1:19" x14ac:dyDescent="0.15">
      <c r="A4" s="78"/>
      <c r="B4" s="79"/>
      <c r="C4" s="79"/>
      <c r="D4" s="79"/>
      <c r="E4" s="79"/>
      <c r="F4" s="79"/>
      <c r="G4" s="79"/>
      <c r="H4" s="80"/>
      <c r="J4" s="93"/>
      <c r="K4" s="93"/>
      <c r="L4" s="93"/>
      <c r="M4" s="93"/>
      <c r="N4" s="93"/>
    </row>
    <row r="5" spans="1:19" x14ac:dyDescent="0.15">
      <c r="A5" s="81"/>
      <c r="B5" s="82"/>
      <c r="C5" s="82"/>
      <c r="D5" s="82"/>
      <c r="E5" s="82"/>
      <c r="F5" s="82"/>
      <c r="G5" s="82"/>
      <c r="H5" s="83"/>
      <c r="J5" s="93"/>
      <c r="K5" s="93"/>
      <c r="L5" s="93"/>
      <c r="M5" s="93"/>
      <c r="N5" s="93"/>
    </row>
    <row r="6" spans="1:19" s="35" customFormat="1" x14ac:dyDescent="0.15">
      <c r="A6" s="60"/>
      <c r="B6" s="60"/>
      <c r="C6" s="60"/>
      <c r="D6" s="60"/>
      <c r="E6" s="60"/>
      <c r="F6" s="60"/>
      <c r="G6" s="60"/>
      <c r="H6" s="60"/>
      <c r="J6" s="93"/>
      <c r="K6" s="93"/>
      <c r="L6" s="93"/>
      <c r="M6" s="93"/>
      <c r="N6" s="93"/>
      <c r="O6" s="21"/>
      <c r="P6" s="21"/>
      <c r="Q6" s="21"/>
      <c r="R6" s="21"/>
      <c r="S6" s="21"/>
    </row>
    <row r="7" spans="1:19" s="35" customFormat="1" x14ac:dyDescent="0.15">
      <c r="A7" s="61"/>
      <c r="B7" s="84" t="s">
        <v>59</v>
      </c>
      <c r="C7" s="86" t="s">
        <v>60</v>
      </c>
      <c r="D7" s="87"/>
      <c r="E7" s="87"/>
      <c r="F7" s="87"/>
      <c r="G7" s="87"/>
      <c r="H7" s="88"/>
      <c r="J7" s="93"/>
      <c r="K7" s="93"/>
      <c r="L7" s="93"/>
      <c r="M7" s="93"/>
      <c r="N7" s="93"/>
      <c r="O7" s="21"/>
      <c r="P7" s="21"/>
      <c r="Q7" s="21"/>
      <c r="R7" s="21"/>
      <c r="S7" s="21"/>
    </row>
    <row r="8" spans="1:19" s="35" customFormat="1" x14ac:dyDescent="0.15">
      <c r="A8" s="61"/>
      <c r="B8" s="85"/>
      <c r="C8" s="89"/>
      <c r="D8" s="90"/>
      <c r="E8" s="90"/>
      <c r="F8" s="90"/>
      <c r="G8" s="90"/>
      <c r="H8" s="91"/>
      <c r="J8" s="93"/>
      <c r="K8" s="93"/>
      <c r="L8" s="93"/>
      <c r="M8" s="93"/>
      <c r="N8" s="93"/>
      <c r="O8" s="21"/>
      <c r="P8" s="21"/>
      <c r="Q8" s="21"/>
      <c r="R8" s="21"/>
      <c r="S8" s="21"/>
    </row>
    <row r="9" spans="1:19" s="35" customFormat="1" x14ac:dyDescent="0.15">
      <c r="A9" s="36"/>
      <c r="B9" s="37"/>
      <c r="C9" s="37"/>
      <c r="J9" s="93"/>
      <c r="K9" s="93"/>
      <c r="L9" s="93"/>
      <c r="M9" s="93"/>
      <c r="N9" s="93"/>
      <c r="O9" s="21"/>
      <c r="P9" s="21"/>
      <c r="Q9" s="21"/>
      <c r="R9" s="21"/>
      <c r="S9" s="21"/>
    </row>
    <row r="10" spans="1:19" x14ac:dyDescent="0.15">
      <c r="A10" s="23"/>
      <c r="B10" s="16"/>
      <c r="C10" s="16"/>
      <c r="J10" s="93"/>
      <c r="K10" s="93"/>
      <c r="L10" s="93"/>
      <c r="M10" s="93"/>
      <c r="N10" s="93"/>
    </row>
    <row r="11" spans="1:19" s="24" customFormat="1" x14ac:dyDescent="0.15">
      <c r="A11" s="10" t="s">
        <v>6</v>
      </c>
      <c r="B11" s="10" t="s">
        <v>12</v>
      </c>
      <c r="C11" s="10" t="s">
        <v>8</v>
      </c>
      <c r="D11" s="10" t="s">
        <v>7</v>
      </c>
      <c r="E11" s="10" t="s">
        <v>10</v>
      </c>
      <c r="F11" s="10" t="s">
        <v>9</v>
      </c>
      <c r="G11" s="10" t="s">
        <v>37</v>
      </c>
      <c r="H11" s="10" t="s">
        <v>14</v>
      </c>
      <c r="J11" s="93"/>
      <c r="K11" s="93"/>
      <c r="L11" s="93"/>
      <c r="M11" s="93"/>
      <c r="N11" s="93"/>
    </row>
    <row r="12" spans="1:19" x14ac:dyDescent="0.15">
      <c r="A12" s="11">
        <f t="shared" ref="A12:A16" si="0">ROW(A12)-ROW(A$11)</f>
        <v>1</v>
      </c>
      <c r="B12" s="17"/>
      <c r="C12" s="17"/>
      <c r="D12" s="13"/>
      <c r="E12" s="11"/>
      <c r="F12" s="11"/>
      <c r="G12" s="25"/>
      <c r="H12" s="25"/>
      <c r="J12" s="93"/>
      <c r="K12" s="93"/>
      <c r="L12" s="93"/>
      <c r="M12" s="93"/>
      <c r="N12" s="93"/>
    </row>
    <row r="13" spans="1:19" x14ac:dyDescent="0.15">
      <c r="A13" s="11">
        <f t="shared" si="0"/>
        <v>2</v>
      </c>
      <c r="B13" s="17"/>
      <c r="C13" s="17"/>
      <c r="D13" s="13"/>
      <c r="E13" s="11"/>
      <c r="F13" s="11"/>
      <c r="G13" s="25"/>
      <c r="H13" s="25"/>
      <c r="J13" s="93"/>
      <c r="K13" s="93"/>
      <c r="L13" s="93"/>
      <c r="M13" s="93"/>
      <c r="N13" s="93"/>
    </row>
    <row r="14" spans="1:19" x14ac:dyDescent="0.15">
      <c r="A14" s="11">
        <f t="shared" si="0"/>
        <v>3</v>
      </c>
      <c r="B14" s="17"/>
      <c r="C14" s="17"/>
      <c r="D14" s="13"/>
      <c r="E14" s="11"/>
      <c r="F14" s="11"/>
      <c r="G14" s="25"/>
      <c r="H14" s="29"/>
      <c r="J14" s="93"/>
      <c r="K14" s="93"/>
      <c r="L14" s="93"/>
      <c r="M14" s="93"/>
      <c r="N14" s="93"/>
    </row>
    <row r="15" spans="1:19" x14ac:dyDescent="0.15">
      <c r="A15" s="11">
        <f t="shared" si="0"/>
        <v>4</v>
      </c>
      <c r="B15" s="17"/>
      <c r="C15" s="17"/>
      <c r="D15" s="13"/>
      <c r="E15" s="11"/>
      <c r="F15" s="11"/>
      <c r="G15" s="25"/>
      <c r="H15" s="29"/>
      <c r="J15" s="93"/>
      <c r="K15" s="93"/>
      <c r="L15" s="93"/>
      <c r="M15" s="93"/>
      <c r="N15" s="93"/>
    </row>
    <row r="16" spans="1:19" x14ac:dyDescent="0.15">
      <c r="A16" s="11">
        <f t="shared" si="0"/>
        <v>5</v>
      </c>
      <c r="B16" s="17"/>
      <c r="C16" s="17"/>
      <c r="D16" s="13"/>
      <c r="E16" s="11"/>
      <c r="F16" s="11"/>
      <c r="G16" s="25"/>
      <c r="H16" s="25"/>
      <c r="J16" s="93"/>
      <c r="K16" s="93"/>
      <c r="L16" s="93"/>
      <c r="M16" s="93"/>
      <c r="N16" s="93"/>
    </row>
    <row r="17" spans="1:14" x14ac:dyDescent="0.15">
      <c r="A17" s="11">
        <f t="shared" ref="A17:A21" si="1">ROW(A17)-ROW(A$11)</f>
        <v>6</v>
      </c>
      <c r="B17" s="17"/>
      <c r="C17" s="17"/>
      <c r="D17" s="13"/>
      <c r="E17" s="11"/>
      <c r="F17" s="11"/>
      <c r="G17" s="25"/>
      <c r="H17" s="25"/>
      <c r="J17" s="93"/>
      <c r="K17" s="93"/>
      <c r="L17" s="93"/>
      <c r="M17" s="93"/>
      <c r="N17" s="93"/>
    </row>
    <row r="18" spans="1:14" x14ac:dyDescent="0.15">
      <c r="A18" s="11">
        <f t="shared" si="1"/>
        <v>7</v>
      </c>
      <c r="B18" s="17"/>
      <c r="C18" s="17"/>
      <c r="D18" s="13"/>
      <c r="E18" s="11"/>
      <c r="F18" s="11"/>
      <c r="G18" s="25"/>
      <c r="H18" s="25"/>
      <c r="J18" s="93"/>
      <c r="K18" s="93"/>
      <c r="L18" s="93"/>
      <c r="M18" s="93"/>
      <c r="N18" s="93"/>
    </row>
    <row r="19" spans="1:14" x14ac:dyDescent="0.15">
      <c r="A19" s="11">
        <f t="shared" si="1"/>
        <v>8</v>
      </c>
      <c r="B19" s="17"/>
      <c r="C19" s="17"/>
      <c r="D19" s="13"/>
      <c r="E19" s="11"/>
      <c r="F19" s="11"/>
      <c r="G19" s="25"/>
      <c r="H19" s="29"/>
      <c r="J19" s="93"/>
      <c r="K19" s="93"/>
      <c r="L19" s="93"/>
      <c r="M19" s="93"/>
      <c r="N19" s="93"/>
    </row>
    <row r="20" spans="1:14" x14ac:dyDescent="0.15">
      <c r="A20" s="11">
        <f t="shared" si="1"/>
        <v>9</v>
      </c>
      <c r="B20" s="17"/>
      <c r="C20" s="17"/>
      <c r="D20" s="13"/>
      <c r="E20" s="11"/>
      <c r="F20" s="11"/>
      <c r="G20" s="25"/>
      <c r="H20" s="29"/>
      <c r="J20" s="93"/>
      <c r="K20" s="93"/>
      <c r="L20" s="93"/>
      <c r="M20" s="93"/>
      <c r="N20" s="93"/>
    </row>
    <row r="21" spans="1:14" x14ac:dyDescent="0.15">
      <c r="A21" s="11">
        <f t="shared" si="1"/>
        <v>10</v>
      </c>
      <c r="B21" s="17"/>
      <c r="C21" s="17"/>
      <c r="D21" s="13"/>
      <c r="E21" s="11"/>
      <c r="F21" s="11"/>
      <c r="G21" s="25"/>
      <c r="H21" s="25"/>
      <c r="J21" s="93"/>
      <c r="K21" s="93"/>
      <c r="L21" s="93"/>
      <c r="M21" s="93"/>
      <c r="N21" s="93"/>
    </row>
    <row r="22" spans="1:14" x14ac:dyDescent="0.15">
      <c r="A22" s="20" t="s">
        <v>5</v>
      </c>
      <c r="B22" s="20" t="s">
        <v>5</v>
      </c>
      <c r="C22" s="20" t="s">
        <v>5</v>
      </c>
      <c r="D22" s="12" t="s">
        <v>5</v>
      </c>
      <c r="E22" s="12" t="s">
        <v>5</v>
      </c>
      <c r="F22" s="12" t="s">
        <v>5</v>
      </c>
      <c r="G22" s="12" t="s">
        <v>5</v>
      </c>
      <c r="H22" s="12" t="s">
        <v>5</v>
      </c>
      <c r="J22" s="93"/>
      <c r="K22" s="93"/>
      <c r="L22" s="93"/>
      <c r="M22" s="93"/>
      <c r="N22" s="93"/>
    </row>
    <row r="23" spans="1:14" x14ac:dyDescent="0.15">
      <c r="J23" s="93"/>
      <c r="K23" s="93"/>
      <c r="L23" s="93"/>
      <c r="M23" s="93"/>
      <c r="N23" s="93"/>
    </row>
    <row r="24" spans="1:14" x14ac:dyDescent="0.15">
      <c r="J24" s="93"/>
      <c r="K24" s="93"/>
      <c r="L24" s="93"/>
      <c r="M24" s="93"/>
      <c r="N24" s="93"/>
    </row>
    <row r="25" spans="1:14" x14ac:dyDescent="0.15">
      <c r="A25" s="10" t="s">
        <v>6</v>
      </c>
      <c r="B25" s="10" t="s">
        <v>13</v>
      </c>
      <c r="C25" s="94" t="s">
        <v>170</v>
      </c>
      <c r="D25" s="95"/>
      <c r="E25" s="95"/>
      <c r="F25" s="96"/>
      <c r="G25" s="10" t="s">
        <v>38</v>
      </c>
      <c r="H25" s="10" t="s">
        <v>15</v>
      </c>
      <c r="J25" s="93"/>
      <c r="K25" s="93"/>
      <c r="L25" s="93"/>
      <c r="M25" s="93"/>
      <c r="N25" s="93"/>
    </row>
    <row r="26" spans="1:14" x14ac:dyDescent="0.15">
      <c r="A26" s="11">
        <f t="shared" ref="A26:A31" si="2">ROW(A26)-ROW(A$25)</f>
        <v>1</v>
      </c>
      <c r="B26" s="17"/>
      <c r="C26" s="97"/>
      <c r="D26" s="98"/>
      <c r="E26" s="98"/>
      <c r="F26" s="99"/>
      <c r="G26" s="18"/>
      <c r="H26" s="17"/>
      <c r="J26" s="93"/>
      <c r="K26" s="93"/>
      <c r="L26" s="93"/>
      <c r="M26" s="93"/>
      <c r="N26" s="93"/>
    </row>
    <row r="27" spans="1:14" x14ac:dyDescent="0.15">
      <c r="A27" s="11">
        <f t="shared" si="2"/>
        <v>2</v>
      </c>
      <c r="B27" s="17"/>
      <c r="C27" s="97"/>
      <c r="D27" s="98"/>
      <c r="E27" s="98"/>
      <c r="F27" s="99"/>
      <c r="G27" s="18"/>
      <c r="H27" s="17"/>
      <c r="J27" s="93"/>
      <c r="K27" s="93"/>
      <c r="L27" s="93"/>
      <c r="M27" s="93"/>
      <c r="N27" s="93"/>
    </row>
    <row r="28" spans="1:14" x14ac:dyDescent="0.15">
      <c r="A28" s="11">
        <f t="shared" si="2"/>
        <v>3</v>
      </c>
      <c r="B28" s="17"/>
      <c r="C28" s="97"/>
      <c r="D28" s="98"/>
      <c r="E28" s="98"/>
      <c r="F28" s="99"/>
      <c r="G28" s="18"/>
      <c r="H28" s="17"/>
      <c r="J28" s="93"/>
      <c r="K28" s="93"/>
      <c r="L28" s="93"/>
      <c r="M28" s="93"/>
      <c r="N28" s="93"/>
    </row>
    <row r="29" spans="1:14" x14ac:dyDescent="0.15">
      <c r="A29" s="11">
        <f t="shared" si="2"/>
        <v>4</v>
      </c>
      <c r="B29" s="17"/>
      <c r="C29" s="97"/>
      <c r="D29" s="98"/>
      <c r="E29" s="98"/>
      <c r="F29" s="99"/>
      <c r="G29" s="18"/>
      <c r="H29" s="17"/>
      <c r="J29" s="93"/>
      <c r="K29" s="93"/>
      <c r="L29" s="93"/>
      <c r="M29" s="93"/>
      <c r="N29" s="93"/>
    </row>
    <row r="30" spans="1:14" x14ac:dyDescent="0.15">
      <c r="A30" s="11">
        <f t="shared" si="2"/>
        <v>5</v>
      </c>
      <c r="B30" s="17"/>
      <c r="C30" s="97"/>
      <c r="D30" s="98"/>
      <c r="E30" s="98"/>
      <c r="F30" s="99"/>
      <c r="G30" s="18"/>
      <c r="H30" s="17"/>
      <c r="J30" s="93"/>
      <c r="K30" s="93"/>
      <c r="L30" s="93"/>
      <c r="M30" s="93"/>
      <c r="N30" s="93"/>
    </row>
    <row r="31" spans="1:14" x14ac:dyDescent="0.15">
      <c r="A31" s="11">
        <f t="shared" si="2"/>
        <v>6</v>
      </c>
      <c r="B31" s="17"/>
      <c r="C31" s="97"/>
      <c r="D31" s="98"/>
      <c r="E31" s="98"/>
      <c r="F31" s="99"/>
      <c r="G31" s="18"/>
      <c r="H31" s="17"/>
      <c r="J31" s="93"/>
      <c r="K31" s="93"/>
      <c r="L31" s="93"/>
      <c r="M31" s="93"/>
      <c r="N31" s="93"/>
    </row>
    <row r="32" spans="1:14" x14ac:dyDescent="0.15">
      <c r="A32" s="20" t="s">
        <v>5</v>
      </c>
      <c r="B32" s="20" t="s">
        <v>5</v>
      </c>
      <c r="C32" s="20" t="s">
        <v>5</v>
      </c>
      <c r="D32" s="12" t="s">
        <v>5</v>
      </c>
      <c r="E32" s="12" t="s">
        <v>5</v>
      </c>
      <c r="F32" s="12" t="s">
        <v>5</v>
      </c>
      <c r="G32" s="12" t="s">
        <v>5</v>
      </c>
      <c r="H32" s="12" t="s">
        <v>5</v>
      </c>
      <c r="J32" s="93"/>
      <c r="K32" s="93"/>
      <c r="L32" s="93"/>
      <c r="M32" s="93"/>
      <c r="N32" s="93"/>
    </row>
  </sheetData>
  <mergeCells count="12">
    <mergeCell ref="A3:H5"/>
    <mergeCell ref="B7:B8"/>
    <mergeCell ref="C7:H8"/>
    <mergeCell ref="J3:N3"/>
    <mergeCell ref="J4:N32"/>
    <mergeCell ref="C25:F25"/>
    <mergeCell ref="C26:F26"/>
    <mergeCell ref="C27:F27"/>
    <mergeCell ref="C28:F28"/>
    <mergeCell ref="C29:F29"/>
    <mergeCell ref="C30:F30"/>
    <mergeCell ref="C31:F31"/>
  </mergeCells>
  <phoneticPr fontId="2" type="noConversion"/>
  <dataValidations count="1">
    <dataValidation type="list" allowBlank="1" showInputMessage="1" showErrorMessage="1" sqref="E12:F21 G26:G31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公共域</vt:lpstr>
      <vt:lpstr>控制台</vt:lpstr>
      <vt:lpstr>变更记录</vt:lpstr>
      <vt:lpstr>目录</vt:lpstr>
      <vt:lpstr>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tianqiang</cp:lastModifiedBy>
  <dcterms:created xsi:type="dcterms:W3CDTF">2006-09-16T00:00:00Z</dcterms:created>
  <dcterms:modified xsi:type="dcterms:W3CDTF">2021-07-10T17:59:31Z</dcterms:modified>
</cp:coreProperties>
</file>